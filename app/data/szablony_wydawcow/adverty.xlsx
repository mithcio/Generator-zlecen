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25" yWindow="-16320" windowWidth="38640" windowHeight="16440" tabRatio="832" firstSheet="0" activeTab="0" autoFilterDateGrouping="1"/>
  </bookViews>
  <sheets>
    <sheet name="Advert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dd\.mm\.yyyy"/>
    <numFmt numFmtId="165" formatCode="_(* #,##0_);_(* \(#,##0\);_(* &quot;-&quot;??_);_(@_)"/>
    <numFmt numFmtId="166" formatCode="_-* #,##0.00_-;\-* #,##0.00_-;_-* &quot;-&quot;??_-;_-@_-"/>
    <numFmt numFmtId="167" formatCode="_([$$-409]* #,##0.00_);_([$$-409]* \(#,##0.00\);_([$$-409]* &quot;-&quot;??_);_(@_)"/>
    <numFmt numFmtId="168" formatCode="_([$$-409]* #,##0_);_([$$-409]* \(#,##0\);_([$$-409]* &quot;-&quot;??_);_(@_)"/>
    <numFmt numFmtId="169" formatCode="#,##0.00\ &quot;zł&quot;;[Red]\-#,##0.00\ &quot;zł&quot;"/>
    <numFmt numFmtId="170" formatCode="_-[$$-409]* #,##0.00_ ;_-[$$-409]* \-#,##0.00\ ;_-[$$-409]* &quot;-&quot;??_ ;_-@_ "/>
    <numFmt numFmtId="171" formatCode="_-* #,##0_-;\-* #,##0_-;_-* &quot;-&quot;??_-;_-@_-"/>
    <numFmt numFmtId="172" formatCode="_-[$€-2]\ * #,##0.00_-;\-[$€-2]\ * #,##0.00_-;_-[$€-2]\ * &quot;-&quot;??_-;_-@_-"/>
    <numFmt numFmtId="173" formatCode="dd\/mm\/yyyy"/>
    <numFmt numFmtId="174" formatCode="###,###,###"/>
    <numFmt numFmtId="175" formatCode="_-* #,##0.00\ &quot;zł&quot;_-;\-* #,##0.00\ &quot;zł&quot;_-;_-* &quot;-&quot;??\ &quot;zł&quot;_-;_-@_-"/>
    <numFmt numFmtId="176" formatCode="#,##0.00\ &quot;zł&quot;"/>
    <numFmt numFmtId="177" formatCode="dd/mm/yyyy"/>
    <numFmt numFmtId="178" formatCode="#,##0.00\ &quot;PLN&quot;;[Red]\-#,##0.00\ &quot;PLN&quot;"/>
    <numFmt numFmtId="179" formatCode="#,##0.00\ &quot;PLN&quot;"/>
  </numFmts>
  <fonts count="59">
    <font>
      <name val="Aptos Narrow"/>
      <charset val="238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rgb="FF006100"/>
      <sz val="11"/>
      <scheme val="minor"/>
    </font>
    <font>
      <name val="Aptos Narrow"/>
      <charset val="238"/>
      <family val="2"/>
      <color rgb="FF9C5700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theme="1"/>
      <sz val="11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ptos Narrow"/>
      <family val="2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b val="1"/>
      <color rgb="FFFFFFFF"/>
      <sz val="11"/>
    </font>
    <font>
      <name val="Calibri"/>
      <family val="2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1"/>
      <u val="single"/>
    </font>
    <font>
      <name val="Calibri"/>
      <family val="2"/>
      <color rgb="FF000000"/>
      <sz val="11"/>
      <u val="single"/>
    </font>
    <font>
      <name val="Aptos Narrow"/>
      <family val="2"/>
      <color rgb="FF000000"/>
      <sz val="11"/>
      <scheme val="minor"/>
    </font>
    <font>
      <name val="Arial"/>
      <family val="2"/>
      <b val="1"/>
      <color rgb="FF000000"/>
      <sz val="11"/>
    </font>
    <font>
      <name val="Aptos Narrow"/>
      <charset val="238"/>
      <family val="2"/>
      <sz val="8"/>
      <scheme val="minor"/>
    </font>
    <font>
      <name val="Aptos Narrow"/>
      <charset val="238"/>
      <family val="2"/>
      <color theme="10"/>
      <sz val="11"/>
      <u val="single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2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Gotham-Book"/>
      <b val="1"/>
      <color theme="1"/>
      <sz val="12"/>
    </font>
    <font>
      <name val="Gotham-Book"/>
      <color theme="1"/>
      <sz val="12"/>
    </font>
    <font>
      <name val="Czcionka tekstu podstawowego"/>
      <charset val="238"/>
      <family val="2"/>
      <color rgb="FF000000"/>
      <sz val="12"/>
    </font>
    <font>
      <name val="Aptos Narrow"/>
      <charset val="238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ptos Narrow"/>
      <family val="2"/>
      <sz val="11"/>
      <scheme val="minor"/>
    </font>
    <font>
      <name val="Aptos Narrow"/>
      <family val="2"/>
      <color rgb="FF000000"/>
      <sz val="12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sz val="12"/>
      <scheme val="minor"/>
    </font>
    <font>
      <name val="Aptos Narrow"/>
      <charset val="238"/>
      <family val="2"/>
      <color rgb="FF000000"/>
      <sz val="12"/>
      <scheme val="minor"/>
    </font>
    <font>
      <name val="Arial"/>
      <charset val="238"/>
      <family val="2"/>
      <color rgb="FF000000"/>
      <sz val="10"/>
    </font>
    <font>
      <name val="Calibri"/>
      <charset val="238"/>
      <family val="2"/>
      <color rgb="FF000000"/>
      <sz val="10"/>
    </font>
    <font>
      <name val="Aptos Narrow"/>
      <charset val="238"/>
      <family val="2"/>
      <color rgb="FF000000"/>
      <sz val="10"/>
      <scheme val="minor"/>
    </font>
    <font>
      <name val="Aptos Narrow"/>
      <charset val="238"/>
      <family val="2"/>
      <color theme="1"/>
      <sz val="10"/>
      <scheme val="minor"/>
    </font>
    <font>
      <name val="Arial"/>
      <charset val="238"/>
      <family val="2"/>
      <color rgb="FF0000FF"/>
      <sz val="10"/>
      <u val="single"/>
    </font>
    <font>
      <name val="Aptos Narrow"/>
      <charset val="238"/>
      <family val="2"/>
      <color rgb="FF3F3F76"/>
      <sz val="11"/>
      <scheme val="minor"/>
    </font>
    <font>
      <name val="Aptos Narrow"/>
      <family val="2"/>
      <i val="1"/>
      <color theme="1"/>
      <sz val="11"/>
      <scheme val="minor"/>
    </font>
    <font>
      <name val="Arial"/>
      <family val="2"/>
      <b val="1"/>
      <color theme="0"/>
      <sz val="10"/>
    </font>
    <font>
      <name val="Aptos Narrow"/>
      <family val="2"/>
      <b val="1"/>
      <color rgb="FF3F3F76"/>
      <sz val="26"/>
      <scheme val="minor"/>
    </font>
    <font>
      <name val="Aptos Narrow"/>
      <family val="2"/>
      <b val="1"/>
      <color rgb="FF3F3F76"/>
      <sz val="20"/>
      <scheme val="minor"/>
    </font>
    <font>
      <name val="Aptos Narrow"/>
      <family val="2"/>
      <b val="1"/>
      <color theme="1"/>
      <sz val="20"/>
      <scheme val="minor"/>
    </font>
    <font>
      <name val="Aptos Narrow"/>
      <charset val="238"/>
      <family val="2"/>
      <color rgb="FF000000"/>
      <sz val="11"/>
      <scheme val="minor"/>
    </font>
    <font>
      <name val="Aptos Narrow"/>
      <family val="2"/>
      <b val="1"/>
      <sz val="20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color rgb="FF000000"/>
      <sz val="10"/>
    </font>
  </fonts>
  <fills count="2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0E0E0"/>
        <bgColor rgb="FFE0E0E0"/>
      </patternFill>
    </fill>
    <fill>
      <patternFill patternType="solid">
        <fgColor rgb="FFD9D9D9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CC99"/>
      </patternFill>
    </fill>
    <fill>
      <patternFill patternType="solid">
        <fgColor rgb="FF0070C0"/>
        <bgColor rgb="FFF46524"/>
      </patternFill>
    </fill>
    <fill>
      <patternFill patternType="solid">
        <fgColor rgb="FF00B0F0"/>
        <bgColor rgb="FF000000"/>
      </patternFill>
    </fill>
    <fill>
      <patternFill patternType="solid">
        <fgColor theme="0" tint="-0.249977111117893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3">
    <xf numFmtId="0" fontId="4" fillId="0" borderId="0"/>
    <xf numFmtId="166" fontId="4" fillId="0" borderId="0"/>
    <xf numFmtId="0" fontId="5" fillId="2" borderId="0"/>
    <xf numFmtId="0" fontId="6" fillId="3" borderId="0"/>
    <xf numFmtId="0" fontId="16" fillId="0" borderId="0"/>
    <xf numFmtId="0" fontId="13" fillId="0" borderId="0"/>
    <xf numFmtId="0" fontId="27" fillId="0" borderId="0"/>
    <xf numFmtId="0" fontId="37" fillId="0" borderId="0"/>
    <xf numFmtId="0" fontId="38" fillId="0" borderId="0" applyAlignment="1" applyProtection="1">
      <alignment vertical="top"/>
      <protection locked="0" hidden="0"/>
    </xf>
    <xf numFmtId="166" fontId="37" fillId="0" borderId="0"/>
    <xf numFmtId="175" fontId="4" fillId="0" borderId="0"/>
    <xf numFmtId="0" fontId="49" fillId="22" borderId="52"/>
    <xf numFmtId="0" fontId="37" fillId="0" borderId="0"/>
  </cellStyleXfs>
  <cellXfs count="294">
    <xf numFmtId="0" fontId="0" fillId="0" borderId="0" pivotButton="0" quotePrefix="0" xfId="0"/>
    <xf numFmtId="0" fontId="10" fillId="0" borderId="0" applyAlignment="1" pivotButton="0" quotePrefix="0" xfId="0">
      <alignment wrapText="1"/>
    </xf>
    <xf numFmtId="0" fontId="16" fillId="0" borderId="0" pivotButton="0" quotePrefix="0" xfId="4"/>
    <xf numFmtId="3" fontId="12" fillId="0" borderId="2" applyAlignment="1" pivotButton="0" quotePrefix="0" xfId="4">
      <alignment horizontal="left" vertical="top" wrapText="1"/>
    </xf>
    <xf numFmtId="0" fontId="11" fillId="0" borderId="2" applyAlignment="1" pivotButton="0" quotePrefix="0" xfId="4">
      <alignment vertical="top"/>
    </xf>
    <xf numFmtId="0" fontId="12" fillId="0" borderId="2" applyAlignment="1" pivotButton="0" quotePrefix="0" xfId="4">
      <alignment horizontal="left" vertical="top" wrapText="1"/>
    </xf>
    <xf numFmtId="3" fontId="13" fillId="0" borderId="2" applyAlignment="1" pivotButton="0" quotePrefix="0" xfId="5">
      <alignment horizontal="center" vertical="top" wrapText="1"/>
    </xf>
    <xf numFmtId="0" fontId="13" fillId="0" borderId="2" applyAlignment="1" pivotButton="0" quotePrefix="0" xfId="5">
      <alignment horizontal="left" vertical="top" wrapText="1"/>
    </xf>
    <xf numFmtId="164" fontId="12" fillId="0" borderId="5" applyAlignment="1" pivotButton="0" quotePrefix="0" xfId="4">
      <alignment horizontal="center" vertical="top" wrapText="1"/>
    </xf>
    <xf numFmtId="164" fontId="12" fillId="0" borderId="1" applyAlignment="1" pivotButton="0" quotePrefix="0" xfId="4">
      <alignment horizontal="center" vertical="top" wrapText="1"/>
    </xf>
    <xf numFmtId="0" fontId="11" fillId="0" borderId="4" applyAlignment="1" pivotButton="0" quotePrefix="0" xfId="4">
      <alignment vertical="top"/>
    </xf>
    <xf numFmtId="165" fontId="12" fillId="0" borderId="1" applyAlignment="1" pivotButton="0" quotePrefix="0" xfId="4">
      <alignment horizontal="left" vertical="top" wrapText="1"/>
    </xf>
    <xf numFmtId="0" fontId="12" fillId="0" borderId="1" applyAlignment="1" pivotButton="0" quotePrefix="0" xfId="4">
      <alignment horizontal="left" vertical="top" wrapText="1"/>
    </xf>
    <xf numFmtId="3" fontId="12" fillId="0" borderId="1" applyAlignment="1" pivotButton="0" quotePrefix="0" xfId="4">
      <alignment horizontal="left" vertical="top" wrapText="1"/>
    </xf>
    <xf numFmtId="3" fontId="12" fillId="0" borderId="3" applyAlignment="1" pivotButton="0" quotePrefix="0" xfId="4">
      <alignment horizontal="left" vertical="top" wrapText="1"/>
    </xf>
    <xf numFmtId="0" fontId="17" fillId="0" borderId="0" applyAlignment="1" pivotButton="0" quotePrefix="0" xfId="4">
      <alignment horizontal="left" vertical="center"/>
    </xf>
    <xf numFmtId="0" fontId="20" fillId="8" borderId="2" applyAlignment="1" pivotButton="0" quotePrefix="0" xfId="4">
      <alignment horizontal="left" vertical="center" wrapText="1"/>
    </xf>
    <xf numFmtId="0" fontId="20" fillId="8" borderId="4" applyAlignment="1" pivotButton="0" quotePrefix="0" xfId="4">
      <alignment horizontal="left" vertical="center" wrapText="1"/>
    </xf>
    <xf numFmtId="0" fontId="20" fillId="8" borderId="7" applyAlignment="1" pivotButton="0" quotePrefix="0" xfId="4">
      <alignment horizontal="left" vertical="center" wrapText="1"/>
    </xf>
    <xf numFmtId="0" fontId="21" fillId="0" borderId="0" applyAlignment="1" pivotButton="0" quotePrefix="0" xfId="4">
      <alignment horizontal="left" vertical="center"/>
    </xf>
    <xf numFmtId="0" fontId="20" fillId="8" borderId="8" applyAlignment="1" pivotButton="0" quotePrefix="0" xfId="4">
      <alignment horizontal="left" vertical="center" wrapText="1"/>
    </xf>
    <xf numFmtId="0" fontId="21" fillId="0" borderId="2" applyAlignment="1" pivotButton="0" quotePrefix="0" xfId="4">
      <alignment horizontal="left" vertical="center"/>
    </xf>
    <xf numFmtId="0" fontId="17" fillId="0" borderId="9" applyAlignment="1" pivotButton="0" quotePrefix="0" xfId="4">
      <alignment horizontal="left" vertical="center"/>
    </xf>
    <xf numFmtId="0" fontId="17" fillId="0" borderId="10" applyAlignment="1" pivotButton="0" quotePrefix="0" xfId="4">
      <alignment horizontal="left" vertical="center"/>
    </xf>
    <xf numFmtId="0" fontId="17" fillId="0" borderId="11" applyAlignment="1" pivotButton="0" quotePrefix="0" xfId="4">
      <alignment horizontal="left" vertical="center"/>
    </xf>
    <xf numFmtId="0" fontId="17" fillId="0" borderId="12" applyAlignment="1" pivotButton="0" quotePrefix="0" xfId="4">
      <alignment horizontal="left" vertical="center"/>
    </xf>
    <xf numFmtId="0" fontId="17" fillId="0" borderId="13" applyAlignment="1" pivotButton="0" quotePrefix="0" xfId="4">
      <alignment horizontal="left" vertical="center"/>
    </xf>
    <xf numFmtId="0" fontId="9" fillId="10" borderId="14" applyAlignment="1" pivotButton="0" quotePrefix="0" xfId="0">
      <alignment horizontal="left" vertical="center" wrapText="1"/>
    </xf>
    <xf numFmtId="166" fontId="12" fillId="0" borderId="2" applyAlignment="1" pivotButton="0" quotePrefix="0" xfId="1">
      <alignment horizontal="left" vertical="top" wrapText="1"/>
    </xf>
    <xf numFmtId="0" fontId="9" fillId="8" borderId="8" applyAlignment="1" pivotButton="0" quotePrefix="0" xfId="4">
      <alignment horizontal="left" vertical="center" wrapText="1"/>
    </xf>
    <xf numFmtId="0" fontId="25" fillId="0" borderId="2" applyAlignment="1" pivotButton="0" quotePrefix="0" xfId="4">
      <alignment vertical="top"/>
    </xf>
    <xf numFmtId="0" fontId="25" fillId="0" borderId="4" applyAlignment="1" pivotButton="0" quotePrefix="0" xfId="4">
      <alignment vertical="top"/>
    </xf>
    <xf numFmtId="0" fontId="28" fillId="0" borderId="0" pivotButton="0" quotePrefix="0" xfId="0"/>
    <xf numFmtId="0" fontId="28" fillId="11" borderId="0" pivotButton="0" quotePrefix="0" xfId="0"/>
    <xf numFmtId="0" fontId="29" fillId="12" borderId="0" pivotButton="0" quotePrefix="0" xfId="0"/>
    <xf numFmtId="0" fontId="28" fillId="12" borderId="0" pivotButton="0" quotePrefix="0" xfId="0"/>
    <xf numFmtId="0" fontId="31" fillId="11" borderId="0" applyAlignment="1" pivotButton="0" quotePrefix="0" xfId="0">
      <alignment horizontal="center" vertical="center"/>
    </xf>
    <xf numFmtId="0" fontId="28" fillId="13" borderId="0" pivotButton="0" quotePrefix="0" xfId="0"/>
    <xf numFmtId="0" fontId="28" fillId="16" borderId="0" applyAlignment="1" pivotButton="0" quotePrefix="0" xfId="0">
      <alignment horizontal="center"/>
    </xf>
    <xf numFmtId="0" fontId="31" fillId="11" borderId="0" applyAlignment="1" pivotButton="0" quotePrefix="0" xfId="0">
      <alignment horizontal="center" vertical="center" wrapText="1"/>
    </xf>
    <xf numFmtId="0" fontId="32" fillId="13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28" fillId="17" borderId="0" pivotButton="0" quotePrefix="0" xfId="0"/>
    <xf numFmtId="0" fontId="28" fillId="17" borderId="0" applyAlignment="1" pivotButton="0" quotePrefix="0" xfId="0">
      <alignment horizontal="center"/>
    </xf>
    <xf numFmtId="0" fontId="28" fillId="17" borderId="0" applyAlignment="1" pivotButton="0" quotePrefix="0" xfId="0">
      <alignment horizontal="center" wrapText="1"/>
    </xf>
    <xf numFmtId="14" fontId="28" fillId="16" borderId="0" pivotButton="0" quotePrefix="0" xfId="0"/>
    <xf numFmtId="0" fontId="28" fillId="13" borderId="0" applyAlignment="1" pivotButton="0" quotePrefix="0" xfId="0">
      <alignment horizontal="center" vertical="center"/>
    </xf>
    <xf numFmtId="0" fontId="28" fillId="16" borderId="0" applyAlignment="1" pivotButton="0" quotePrefix="0" xfId="0">
      <alignment horizontal="center" vertical="center"/>
    </xf>
    <xf numFmtId="0" fontId="28" fillId="16" borderId="0" pivotButton="0" quotePrefix="0" xfId="0"/>
    <xf numFmtId="3" fontId="28" fillId="13" borderId="0" pivotButton="0" quotePrefix="0" xfId="0"/>
    <xf numFmtId="2" fontId="28" fillId="13" borderId="0" pivotButton="0" quotePrefix="0" xfId="0"/>
    <xf numFmtId="0" fontId="28" fillId="13" borderId="0" applyAlignment="1" pivotButton="0" quotePrefix="0" xfId="0">
      <alignment horizontal="center" wrapText="1"/>
    </xf>
    <xf numFmtId="0" fontId="33" fillId="0" borderId="0" pivotButton="0" quotePrefix="0" xfId="0"/>
    <xf numFmtId="0" fontId="34" fillId="0" borderId="0" pivotButton="0" quotePrefix="0" xfId="0"/>
    <xf numFmtId="0" fontId="33" fillId="0" borderId="1" pivotButton="0" quotePrefix="0" xfId="0"/>
    <xf numFmtId="14" fontId="34" fillId="0" borderId="1" applyAlignment="1" pivotButton="0" quotePrefix="0" xfId="0">
      <alignment horizontal="left"/>
    </xf>
    <xf numFmtId="0" fontId="34" fillId="0" borderId="1" applyAlignment="1" pivotButton="0" quotePrefix="0" xfId="0">
      <alignment horizontal="left" wrapText="1"/>
    </xf>
    <xf numFmtId="14" fontId="34" fillId="0" borderId="1" applyAlignment="1" pivotButton="0" quotePrefix="0" xfId="0">
      <alignment horizontal="left" wrapText="1"/>
    </xf>
    <xf numFmtId="165" fontId="34" fillId="0" borderId="1" applyAlignment="1" pivotButton="0" quotePrefix="0" xfId="1">
      <alignment horizontal="left"/>
    </xf>
    <xf numFmtId="165" fontId="34" fillId="0" borderId="0" pivotButton="0" quotePrefix="0" xfId="0"/>
    <xf numFmtId="167" fontId="34" fillId="0" borderId="1" applyAlignment="1" pivotButton="0" quotePrefix="0" xfId="0">
      <alignment horizontal="left"/>
    </xf>
    <xf numFmtId="168" fontId="34" fillId="0" borderId="1" applyAlignment="1" pivotButton="0" quotePrefix="0" xfId="0">
      <alignment horizontal="left"/>
    </xf>
    <xf numFmtId="168" fontId="34" fillId="0" borderId="0" applyAlignment="1" pivotButton="0" quotePrefix="0" xfId="0">
      <alignment horizontal="left"/>
    </xf>
    <xf numFmtId="168" fontId="33" fillId="0" borderId="1" applyAlignment="1" pivotButton="0" quotePrefix="0" xfId="0">
      <alignment horizontal="left"/>
    </xf>
    <xf numFmtId="0" fontId="34" fillId="0" borderId="1" pivotButton="0" quotePrefix="0" xfId="0"/>
    <xf numFmtId="9" fontId="34" fillId="0" borderId="1" pivotButton="0" quotePrefix="0" xfId="0"/>
    <xf numFmtId="0" fontId="33" fillId="0" borderId="14" pivotButton="0" quotePrefix="0" xfId="0"/>
    <xf numFmtId="0" fontId="34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6" fillId="3" borderId="0" pivotButton="0" quotePrefix="0" xfId="3"/>
    <xf numFmtId="0" fontId="5" fillId="2" borderId="18" applyAlignment="1" pivotButton="0" quotePrefix="0" xfId="2">
      <alignment horizontal="center" vertical="center" wrapText="1"/>
    </xf>
    <xf numFmtId="166" fontId="5" fillId="2" borderId="18" applyAlignment="1" pivotButton="0" quotePrefix="0" xfId="2">
      <alignment horizontal="center" vertical="center" wrapText="1"/>
    </xf>
    <xf numFmtId="169" fontId="5" fillId="2" borderId="18" applyAlignment="1" pivotButton="0" quotePrefix="0" xfId="2">
      <alignment horizontal="center" vertical="center" wrapText="1"/>
    </xf>
    <xf numFmtId="169" fontId="5" fillId="2" borderId="18" applyAlignment="1" pivotButton="0" quotePrefix="0" xfId="2">
      <alignment horizontal="center" vertical="center"/>
    </xf>
    <xf numFmtId="14" fontId="5" fillId="2" borderId="18" applyAlignment="1" pivotButton="0" quotePrefix="0" xfId="2">
      <alignment horizontal="center" vertical="center" wrapText="1"/>
    </xf>
    <xf numFmtId="3" fontId="5" fillId="2" borderId="18" applyAlignment="1" pivotButton="0" quotePrefix="0" xfId="2">
      <alignment horizontal="center" vertical="center" wrapText="1"/>
    </xf>
    <xf numFmtId="0" fontId="5" fillId="2" borderId="18" applyAlignment="1" pivotButton="0" quotePrefix="0" xfId="2">
      <alignment horizontal="right" vertical="center" wrapText="1"/>
    </xf>
    <xf numFmtId="10" fontId="5" fillId="2" borderId="18" applyAlignment="1" pivotButton="0" quotePrefix="0" xfId="2">
      <alignment horizontal="center" vertical="center"/>
    </xf>
    <xf numFmtId="0" fontId="5" fillId="2" borderId="18" applyAlignment="1" pivotButton="0" quotePrefix="0" xfId="2">
      <alignment horizontal="center" vertical="center"/>
    </xf>
    <xf numFmtId="170" fontId="5" fillId="2" borderId="18" applyAlignment="1" pivotButton="0" quotePrefix="0" xfId="2">
      <alignment wrapText="1"/>
    </xf>
    <xf numFmtId="0" fontId="10" fillId="0" borderId="18" applyAlignment="1" pivotButton="0" quotePrefix="0" xfId="0">
      <alignment wrapText="1"/>
    </xf>
    <xf numFmtId="0" fontId="8" fillId="0" borderId="19" applyAlignment="1" pivotButton="0" quotePrefix="0" xfId="0">
      <alignment horizontal="center" vertical="center"/>
    </xf>
    <xf numFmtId="0" fontId="35" fillId="0" borderId="19" pivotButton="0" quotePrefix="0" xfId="0"/>
    <xf numFmtId="0" fontId="36" fillId="0" borderId="19" pivotButton="0" quotePrefix="0" xfId="0"/>
    <xf numFmtId="0" fontId="20" fillId="8" borderId="21" applyAlignment="1" pivotButton="0" quotePrefix="0" xfId="4">
      <alignment horizontal="left" vertical="center" wrapText="1"/>
    </xf>
    <xf numFmtId="0" fontId="20" fillId="8" borderId="24" applyAlignment="1" pivotButton="0" quotePrefix="0" xfId="4">
      <alignment horizontal="left" vertical="center" wrapText="1"/>
    </xf>
    <xf numFmtId="0" fontId="20" fillId="9" borderId="21" applyAlignment="1" pivotButton="0" quotePrefix="0" xfId="4">
      <alignment horizontal="left" vertical="center" wrapText="1"/>
    </xf>
    <xf numFmtId="0" fontId="21" fillId="0" borderId="25" applyAlignment="1" pivotButton="0" quotePrefix="0" xfId="4">
      <alignment horizontal="left" vertical="center" wrapText="1"/>
    </xf>
    <xf numFmtId="0" fontId="20" fillId="8" borderId="25" applyAlignment="1" pivotButton="0" quotePrefix="0" xfId="4">
      <alignment horizontal="left" vertical="center"/>
    </xf>
    <xf numFmtId="0" fontId="17" fillId="0" borderId="26" applyAlignment="1" pivotButton="0" quotePrefix="0" xfId="4">
      <alignment horizontal="left" vertical="center"/>
    </xf>
    <xf numFmtId="0" fontId="17" fillId="0" borderId="28" applyAlignment="1" pivotButton="0" quotePrefix="0" xfId="4">
      <alignment horizontal="left" vertical="center"/>
    </xf>
    <xf numFmtId="0" fontId="17" fillId="0" borderId="29" applyAlignment="1" pivotButton="0" quotePrefix="0" xfId="4">
      <alignment horizontal="left" vertical="center"/>
    </xf>
    <xf numFmtId="0" fontId="17" fillId="0" borderId="30" applyAlignment="1" pivotButton="0" quotePrefix="0" xfId="4">
      <alignment horizontal="left" vertical="center"/>
    </xf>
    <xf numFmtId="0" fontId="17" fillId="0" borderId="31" applyAlignment="1" pivotButton="0" quotePrefix="0" xfId="4">
      <alignment horizontal="left" vertical="center"/>
    </xf>
    <xf numFmtId="0" fontId="17" fillId="0" borderId="32" applyAlignment="1" pivotButton="0" quotePrefix="0" xfId="4">
      <alignment horizontal="left" vertical="center"/>
    </xf>
    <xf numFmtId="0" fontId="17" fillId="0" borderId="33" applyAlignment="1" pivotButton="0" quotePrefix="0" xfId="4">
      <alignment horizontal="left" vertical="center"/>
    </xf>
    <xf numFmtId="0" fontId="17" fillId="0" borderId="34" applyAlignment="1" pivotButton="0" quotePrefix="0" xfId="4">
      <alignment horizontal="left" vertical="center"/>
    </xf>
    <xf numFmtId="0" fontId="17" fillId="0" borderId="35" applyAlignment="1" pivotButton="0" quotePrefix="0" xfId="4">
      <alignment horizontal="left" vertical="center"/>
    </xf>
    <xf numFmtId="0" fontId="20" fillId="7" borderId="39" applyAlignment="1" pivotButton="0" quotePrefix="0" xfId="4">
      <alignment horizontal="left" vertical="center" wrapText="1"/>
    </xf>
    <xf numFmtId="0" fontId="37" fillId="0" borderId="0" pivotButton="0" quotePrefix="0" xfId="7"/>
    <xf numFmtId="0" fontId="37" fillId="0" borderId="0" applyAlignment="1" pivotButton="0" quotePrefix="0" xfId="7">
      <alignment wrapText="1"/>
    </xf>
    <xf numFmtId="0" fontId="37" fillId="18" borderId="1" pivotButton="0" quotePrefix="0" xfId="7"/>
    <xf numFmtId="0" fontId="37" fillId="0" borderId="1" pivotButton="0" quotePrefix="0" xfId="7"/>
    <xf numFmtId="0" fontId="37" fillId="0" borderId="1" applyAlignment="1" pivotButton="0" quotePrefix="0" xfId="7">
      <alignment wrapText="1"/>
    </xf>
    <xf numFmtId="2" fontId="37" fillId="0" borderId="1" pivotButton="0" quotePrefix="0" xfId="7"/>
    <xf numFmtId="0" fontId="37" fillId="0" borderId="1" applyAlignment="1" pivotButton="0" quotePrefix="0" xfId="7">
      <alignment horizontal="left" vertical="center"/>
    </xf>
    <xf numFmtId="0" fontId="38" fillId="0" borderId="1" applyAlignment="1" pivotButton="0" quotePrefix="0" xfId="8">
      <alignment wrapText="1"/>
    </xf>
    <xf numFmtId="0" fontId="37" fillId="0" borderId="1" applyAlignment="1" pivotButton="0" quotePrefix="0" xfId="7">
      <alignment horizontal="center"/>
    </xf>
    <xf numFmtId="171" fontId="0" fillId="0" borderId="1" applyAlignment="1" pivotButton="0" quotePrefix="0" xfId="9">
      <alignment horizontal="center"/>
    </xf>
    <xf numFmtId="172" fontId="37" fillId="0" borderId="1" applyAlignment="1" pivotButton="0" quotePrefix="0" xfId="7">
      <alignment horizontal="center"/>
    </xf>
    <xf numFmtId="173" fontId="37" fillId="0" borderId="1" pivotButton="0" quotePrefix="0" xfId="7"/>
    <xf numFmtId="0" fontId="24" fillId="0" borderId="14" applyAlignment="1" pivotButton="0" quotePrefix="0" xfId="0">
      <alignment horizontal="left" vertical="center"/>
    </xf>
    <xf numFmtId="0" fontId="9" fillId="8" borderId="4" applyAlignment="1" pivotButton="0" quotePrefix="0" xfId="4">
      <alignment horizontal="left" vertical="center" wrapText="1"/>
    </xf>
    <xf numFmtId="0" fontId="24" fillId="0" borderId="14" applyAlignment="1" pivotButton="0" quotePrefix="0" xfId="0">
      <alignment vertical="center"/>
    </xf>
    <xf numFmtId="0" fontId="24" fillId="0" borderId="15" applyAlignment="1" pivotButton="0" quotePrefix="0" xfId="0">
      <alignment horizontal="left" vertical="center"/>
    </xf>
    <xf numFmtId="0" fontId="24" fillId="0" borderId="16" applyAlignment="1" pivotButton="0" quotePrefix="0" xfId="0">
      <alignment horizontal="left" vertical="center"/>
    </xf>
    <xf numFmtId="0" fontId="10" fillId="0" borderId="14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0" fontId="10" fillId="0" borderId="17" applyAlignment="1" pivotButton="0" quotePrefix="0" xfId="0">
      <alignment horizontal="left" vertical="center"/>
    </xf>
    <xf numFmtId="0" fontId="24" fillId="0" borderId="14" applyAlignment="1" pivotButton="0" quotePrefix="0" xfId="0">
      <alignment horizontal="left" vertical="center" wrapText="1"/>
    </xf>
    <xf numFmtId="0" fontId="24" fillId="0" borderId="1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left" vertical="center" wrapText="1"/>
    </xf>
    <xf numFmtId="0" fontId="27" fillId="0" borderId="15" applyAlignment="1" pivotButton="0" quotePrefix="0" xfId="6">
      <alignment vertical="center"/>
    </xf>
    <xf numFmtId="0" fontId="27" fillId="0" borderId="15" applyAlignment="1" pivotButton="0" quotePrefix="0" xfId="6">
      <alignment horizontal="left" vertical="center"/>
    </xf>
    <xf numFmtId="3" fontId="24" fillId="0" borderId="16" applyAlignment="1" pivotButton="0" quotePrefix="0" xfId="0">
      <alignment horizontal="left" vertical="center"/>
    </xf>
    <xf numFmtId="174" fontId="37" fillId="0" borderId="1" pivotButton="0" quotePrefix="0" xfId="7"/>
    <xf numFmtId="0" fontId="37" fillId="19" borderId="1" applyAlignment="1" pivotButton="0" quotePrefix="0" xfId="0">
      <alignment horizontal="center" vertical="center"/>
    </xf>
    <xf numFmtId="0" fontId="39" fillId="20" borderId="1" pivotButton="0" quotePrefix="0" xfId="0"/>
    <xf numFmtId="0" fontId="9" fillId="10" borderId="1" applyAlignment="1" pivotButton="0" quotePrefix="0" xfId="0">
      <alignment horizontal="left" vertical="center" wrapText="1"/>
    </xf>
    <xf numFmtId="0" fontId="9" fillId="10" borderId="42" applyAlignment="1" pivotButton="0" quotePrefix="0" xfId="0">
      <alignment horizontal="left" vertical="center" wrapText="1"/>
    </xf>
    <xf numFmtId="0" fontId="37" fillId="19" borderId="42" applyAlignment="1" pivotButton="0" quotePrefix="0" xfId="0">
      <alignment horizontal="center" vertical="center"/>
    </xf>
    <xf numFmtId="0" fontId="0" fillId="0" borderId="42" pivotButton="0" quotePrefix="0" xfId="0"/>
    <xf numFmtId="0" fontId="39" fillId="20" borderId="42" pivotButton="0" quotePrefix="0" xfId="0"/>
    <xf numFmtId="0" fontId="6" fillId="3" borderId="34" applyAlignment="1" pivotButton="0" quotePrefix="0" xfId="3">
      <alignment horizontal="left" vertical="center" wrapText="1"/>
    </xf>
    <xf numFmtId="0" fontId="6" fillId="3" borderId="34" applyAlignment="1" pivotButton="0" quotePrefix="0" xfId="3">
      <alignment horizontal="left" vertical="center"/>
    </xf>
    <xf numFmtId="0" fontId="6" fillId="3" borderId="34" pivotButton="0" quotePrefix="0" xfId="3"/>
    <xf numFmtId="0" fontId="9" fillId="10" borderId="45" applyAlignment="1" pivotButton="0" quotePrefix="0" xfId="0">
      <alignment horizontal="left" vertical="center" wrapText="1"/>
    </xf>
    <xf numFmtId="0" fontId="0" fillId="0" borderId="46" pivotButton="0" quotePrefix="0" xfId="0"/>
    <xf numFmtId="0" fontId="6" fillId="3" borderId="35" pivotButton="0" quotePrefix="0" xfId="3"/>
    <xf numFmtId="0" fontId="6" fillId="3" borderId="47" applyAlignment="1" pivotButton="0" quotePrefix="0" xfId="3">
      <alignment horizontal="left" vertical="center"/>
    </xf>
    <xf numFmtId="0" fontId="24" fillId="0" borderId="1" applyAlignment="1" pivotButton="0" quotePrefix="0" xfId="0">
      <alignment vertical="center"/>
    </xf>
    <xf numFmtId="0" fontId="7" fillId="4" borderId="44" applyAlignment="1" pivotButton="0" quotePrefix="0" xfId="0">
      <alignment horizontal="center" vertical="center" wrapText="1"/>
    </xf>
    <xf numFmtId="0" fontId="7" fillId="4" borderId="4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0" fillId="0" borderId="49" applyAlignment="1" pivotButton="0" quotePrefix="0" xfId="0">
      <alignment horizontal="left" vertical="center" wrapText="1"/>
    </xf>
    <xf numFmtId="0" fontId="40" fillId="0" borderId="50" applyAlignment="1" pivotButton="0" quotePrefix="0" xfId="0">
      <alignment horizontal="center" vertical="center" wrapText="1"/>
    </xf>
    <xf numFmtId="0" fontId="41" fillId="0" borderId="50" applyAlignment="1" pivotButton="0" quotePrefix="0" xfId="0">
      <alignment horizontal="center" vertical="center" wrapText="1"/>
    </xf>
    <xf numFmtId="0" fontId="24" fillId="0" borderId="0" applyAlignment="1" pivotButton="0" quotePrefix="0" xfId="0">
      <alignment wrapText="1"/>
    </xf>
    <xf numFmtId="175" fontId="5" fillId="2" borderId="18" applyAlignment="1" pivotButton="0" quotePrefix="0" xfId="2">
      <alignment wrapText="1"/>
    </xf>
    <xf numFmtId="0" fontId="46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2" fontId="0" fillId="0" borderId="0" pivotButton="0" quotePrefix="0" xfId="10"/>
    <xf numFmtId="2" fontId="0" fillId="0" borderId="0" pivotButton="0" quotePrefix="0" xfId="0"/>
    <xf numFmtId="0" fontId="50" fillId="0" borderId="0" pivotButton="0" quotePrefix="0" xfId="0"/>
    <xf numFmtId="0" fontId="51" fillId="23" borderId="0" applyAlignment="1" pivotButton="0" quotePrefix="0" xfId="0">
      <alignment horizontal="center" vertical="center"/>
    </xf>
    <xf numFmtId="0" fontId="52" fillId="22" borderId="52" applyAlignment="1" pivotButton="0" quotePrefix="0" xfId="11">
      <alignment horizontal="center" vertical="center"/>
    </xf>
    <xf numFmtId="0" fontId="53" fillId="22" borderId="54" applyAlignment="1" pivotButton="0" quotePrefix="0" xfId="11">
      <alignment horizontal="center" vertical="center"/>
    </xf>
    <xf numFmtId="0" fontId="54" fillId="0" borderId="0" applyAlignment="1" pivotButton="0" quotePrefix="0" xfId="0">
      <alignment horizontal="left" vertical="center"/>
    </xf>
    <xf numFmtId="10" fontId="0" fillId="0" borderId="1" pivotButton="0" quotePrefix="0" xfId="0"/>
    <xf numFmtId="170" fontId="0" fillId="0" borderId="1" pivotButton="0" quotePrefix="0" xfId="0"/>
    <xf numFmtId="175" fontId="0" fillId="0" borderId="1" pivotButton="0" quotePrefix="0" xfId="0"/>
    <xf numFmtId="0" fontId="24" fillId="0" borderId="50" applyAlignment="1" pivotButton="0" quotePrefix="0" xfId="0">
      <alignment horizontal="center" vertical="center" wrapText="1"/>
    </xf>
    <xf numFmtId="175" fontId="40" fillId="0" borderId="50" applyAlignment="1" applyProtection="1" pivotButton="0" quotePrefix="0" xfId="0">
      <alignment horizontal="center" vertical="center" wrapText="1"/>
      <protection locked="0" hidden="0"/>
    </xf>
    <xf numFmtId="3" fontId="40" fillId="0" borderId="50" applyAlignment="1" applyProtection="1" pivotButton="0" quotePrefix="0" xfId="0">
      <alignment horizontal="center" vertical="center" wrapText="1"/>
      <protection locked="0" hidden="0"/>
    </xf>
    <xf numFmtId="10" fontId="40" fillId="0" borderId="50" applyAlignment="1" pivotButton="0" quotePrefix="0" xfId="0">
      <alignment horizontal="center" vertical="center"/>
    </xf>
    <xf numFmtId="0" fontId="40" fillId="0" borderId="50" applyAlignment="1" pivotButton="0" quotePrefix="0" xfId="0">
      <alignment horizontal="center" vertical="center"/>
    </xf>
    <xf numFmtId="175" fontId="40" fillId="0" borderId="51" applyAlignment="1" applyProtection="1" pivotButton="0" quotePrefix="0" xfId="0">
      <alignment horizontal="center" vertical="center" wrapText="1"/>
      <protection locked="0" hidden="0"/>
    </xf>
    <xf numFmtId="0" fontId="24" fillId="24" borderId="1" applyAlignment="1" pivotButton="0" quotePrefix="0" xfId="0">
      <alignment horizontal="center" vertical="center"/>
    </xf>
    <xf numFmtId="0" fontId="55" fillId="0" borderId="0" pivotButton="0" quotePrefix="0" xfId="0"/>
    <xf numFmtId="175" fontId="42" fillId="0" borderId="50" applyAlignment="1" pivotButton="0" quotePrefix="0" xfId="10">
      <alignment horizontal="center" vertical="center"/>
    </xf>
    <xf numFmtId="176" fontId="40" fillId="0" borderId="50" applyAlignment="1" applyProtection="1" pivotButton="0" quotePrefix="0" xfId="0">
      <alignment horizontal="center" vertical="center" wrapText="1"/>
      <protection locked="0" hidden="0"/>
    </xf>
    <xf numFmtId="3" fontId="40" fillId="0" borderId="50" applyAlignment="1" applyProtection="1" pivotButton="0" quotePrefix="0" xfId="0">
      <alignment horizontal="right" vertical="center" wrapText="1"/>
      <protection locked="0" hidden="0"/>
    </xf>
    <xf numFmtId="10" fontId="40" fillId="0" borderId="50" applyAlignment="1" pivotButton="0" quotePrefix="0" xfId="0">
      <alignment horizontal="center" vertical="center" wrapText="1"/>
    </xf>
    <xf numFmtId="175" fontId="40" fillId="0" borderId="50" applyAlignment="1" applyProtection="1" pivotButton="0" quotePrefix="0" xfId="0">
      <alignment wrapText="1"/>
      <protection locked="0" hidden="0"/>
    </xf>
    <xf numFmtId="0" fontId="56" fillId="18" borderId="0" applyAlignment="1" pivotButton="0" quotePrefix="0" xfId="3">
      <alignment vertical="center"/>
    </xf>
    <xf numFmtId="0" fontId="39" fillId="18" borderId="0" pivotButton="0" quotePrefix="0" xfId="3"/>
    <xf numFmtId="0" fontId="39" fillId="18" borderId="0" pivotButton="0" quotePrefix="0" xfId="0"/>
    <xf numFmtId="10" fontId="39" fillId="18" borderId="0" pivotButton="0" quotePrefix="0" xfId="0"/>
    <xf numFmtId="170" fontId="39" fillId="18" borderId="0" pivotButton="0" quotePrefix="0" xfId="0"/>
    <xf numFmtId="175" fontId="39" fillId="18" borderId="0" pivotButton="0" quotePrefix="0" xfId="0"/>
    <xf numFmtId="0" fontId="57" fillId="18" borderId="59" applyAlignment="1" pivotButton="0" quotePrefix="0" xfId="0">
      <alignment horizontal="center" vertical="center" wrapText="1"/>
    </xf>
    <xf numFmtId="0" fontId="57" fillId="18" borderId="53" applyAlignment="1" pivotButton="0" quotePrefix="0" xfId="0">
      <alignment horizontal="center" vertical="center" wrapText="1"/>
    </xf>
    <xf numFmtId="177" fontId="43" fillId="0" borderId="50" applyAlignment="1" applyProtection="1" pivotButton="0" quotePrefix="0" xfId="0">
      <alignment horizontal="center" vertical="center" wrapText="1"/>
      <protection locked="0" hidden="0"/>
    </xf>
    <xf numFmtId="0" fontId="47" fillId="0" borderId="1" applyAlignment="1" pivotButton="0" quotePrefix="0" xfId="4">
      <alignment horizontal="center" vertical="center"/>
    </xf>
    <xf numFmtId="177" fontId="40" fillId="0" borderId="50" applyAlignment="1" pivotButton="0" quotePrefix="0" xfId="0">
      <alignment horizontal="center" vertical="center" wrapText="1"/>
    </xf>
    <xf numFmtId="175" fontId="40" fillId="0" borderId="51" applyAlignment="1" applyProtection="1" pivotButton="0" quotePrefix="0" xfId="0">
      <alignment wrapText="1"/>
      <protection locked="0" hidden="0"/>
    </xf>
    <xf numFmtId="0" fontId="24" fillId="21" borderId="0" applyAlignment="1" pivotButton="0" quotePrefix="0" xfId="0">
      <alignment wrapText="1"/>
    </xf>
    <xf numFmtId="0" fontId="44" fillId="7" borderId="2" applyAlignment="1" pivotButton="0" quotePrefix="0" xfId="0">
      <alignment horizontal="center" vertical="center"/>
    </xf>
    <xf numFmtId="0" fontId="45" fillId="7" borderId="2" applyAlignment="1" pivotButton="0" quotePrefix="0" xfId="0">
      <alignment horizontal="center" vertical="center"/>
    </xf>
    <xf numFmtId="0" fontId="44" fillId="7" borderId="3" applyAlignment="1" pivotButton="0" quotePrefix="0" xfId="0">
      <alignment horizontal="center" vertical="center"/>
    </xf>
    <xf numFmtId="0" fontId="55" fillId="0" borderId="1" applyAlignment="1" pivotButton="0" quotePrefix="0" xfId="0">
      <alignment horizontal="center" vertical="center"/>
    </xf>
    <xf numFmtId="0" fontId="44" fillId="7" borderId="1" applyAlignment="1" pivotButton="0" quotePrefix="0" xfId="0">
      <alignment horizontal="center" vertical="center"/>
    </xf>
    <xf numFmtId="0" fontId="58" fillId="0" borderId="0" pivotButton="0" quotePrefix="0" xfId="0"/>
    <xf numFmtId="0" fontId="0" fillId="0" borderId="0" applyAlignment="1" pivotButton="0" quotePrefix="0" xfId="0">
      <alignment wrapText="1"/>
    </xf>
    <xf numFmtId="14" fontId="40" fillId="0" borderId="50" applyAlignment="1" pivotButton="0" quotePrefix="0" xfId="0">
      <alignment horizontal="center" vertical="center" wrapText="1"/>
    </xf>
    <xf numFmtId="0" fontId="2" fillId="0" borderId="0" pivotButton="0" quotePrefix="0" xfId="0"/>
    <xf numFmtId="0" fontId="58" fillId="0" borderId="0" applyAlignment="1" pivotButton="0" quotePrefix="0" xfId="0">
      <alignment wrapText="1"/>
    </xf>
    <xf numFmtId="0" fontId="24" fillId="25" borderId="0" applyAlignment="1" pivotButton="0" quotePrefix="0" xfId="0">
      <alignment wrapText="1"/>
    </xf>
    <xf numFmtId="0" fontId="27" fillId="7" borderId="2" applyAlignment="1" pivotButton="0" quotePrefix="0" xfId="6">
      <alignment horizontal="center" vertical="center"/>
    </xf>
    <xf numFmtId="0" fontId="45" fillId="7" borderId="3" applyAlignment="1" pivotButton="0" quotePrefix="0" xfId="0">
      <alignment horizontal="center" vertical="center"/>
    </xf>
    <xf numFmtId="0" fontId="46" fillId="0" borderId="2" applyAlignment="1" pivotButton="0" quotePrefix="0" xfId="0">
      <alignment horizontal="center" vertical="center"/>
    </xf>
    <xf numFmtId="0" fontId="46" fillId="0" borderId="3" applyAlignment="1" pivotButton="0" quotePrefix="0" xfId="0">
      <alignment horizontal="center" vertical="center"/>
    </xf>
    <xf numFmtId="0" fontId="20" fillId="0" borderId="23" applyAlignment="1" pivotButton="0" quotePrefix="0" xfId="4">
      <alignment horizontal="left" vertical="center" wrapText="1"/>
    </xf>
    <xf numFmtId="0" fontId="19" fillId="0" borderId="7" pivotButton="0" quotePrefix="0" xfId="4"/>
    <xf numFmtId="0" fontId="20" fillId="0" borderId="4" applyAlignment="1" pivotButton="0" quotePrefix="0" xfId="4">
      <alignment horizontal="left" vertical="center"/>
    </xf>
    <xf numFmtId="0" fontId="19" fillId="0" borderId="6" pivotButton="0" quotePrefix="0" xfId="4"/>
    <xf numFmtId="0" fontId="19" fillId="0" borderId="22" pivotButton="0" quotePrefix="0" xfId="4"/>
    <xf numFmtId="3" fontId="10" fillId="0" borderId="4" applyAlignment="1" pivotButton="0" quotePrefix="0" xfId="4">
      <alignment horizontal="left" vertical="center" wrapText="1"/>
    </xf>
    <xf numFmtId="3" fontId="21" fillId="0" borderId="6" applyAlignment="1" pivotButton="0" quotePrefix="0" xfId="4">
      <alignment horizontal="left" vertical="center" wrapText="1"/>
    </xf>
    <xf numFmtId="3" fontId="21" fillId="0" borderId="22" applyAlignment="1" pivotButton="0" quotePrefix="0" xfId="4">
      <alignment horizontal="left" vertical="center" wrapText="1"/>
    </xf>
    <xf numFmtId="0" fontId="18" fillId="6" borderId="23" applyAlignment="1" pivotButton="0" quotePrefix="0" xfId="4">
      <alignment horizontal="left" vertical="center"/>
    </xf>
    <xf numFmtId="0" fontId="21" fillId="0" borderId="23" applyAlignment="1" pivotButton="0" quotePrefix="0" xfId="4">
      <alignment horizontal="left" vertical="center" wrapText="1"/>
    </xf>
    <xf numFmtId="0" fontId="21" fillId="0" borderId="26" applyAlignment="1" pivotButton="0" quotePrefix="0" xfId="4">
      <alignment horizontal="left" vertical="center" wrapText="1"/>
    </xf>
    <xf numFmtId="0" fontId="19" fillId="0" borderId="9" pivotButton="0" quotePrefix="0" xfId="4"/>
    <xf numFmtId="0" fontId="19" fillId="0" borderId="27" pivotButton="0" quotePrefix="0" xfId="4"/>
    <xf numFmtId="0" fontId="19" fillId="0" borderId="8" pivotButton="0" quotePrefix="0" xfId="4"/>
    <xf numFmtId="0" fontId="21" fillId="0" borderId="4" applyAlignment="1" pivotButton="0" quotePrefix="0" xfId="4">
      <alignment horizontal="left" vertical="center"/>
    </xf>
    <xf numFmtId="0" fontId="21" fillId="0" borderId="4" applyAlignment="1" pivotButton="0" quotePrefix="0" xfId="4">
      <alignment horizontal="left" vertical="center" wrapText="1"/>
    </xf>
    <xf numFmtId="0" fontId="18" fillId="6" borderId="23" applyAlignment="1" pivotButton="0" quotePrefix="0" xfId="4">
      <alignment horizontal="left" vertical="center" wrapText="1"/>
    </xf>
    <xf numFmtId="0" fontId="9" fillId="0" borderId="4" applyAlignment="1" pivotButton="0" quotePrefix="0" xfId="4">
      <alignment horizontal="left" vertical="center"/>
    </xf>
    <xf numFmtId="178" fontId="21" fillId="0" borderId="4" applyAlignment="1" pivotButton="0" quotePrefix="0" xfId="4">
      <alignment horizontal="left" vertical="center" wrapText="1"/>
    </xf>
    <xf numFmtId="9" fontId="23" fillId="0" borderId="4" applyAlignment="1" pivotButton="0" quotePrefix="0" xfId="4">
      <alignment horizontal="left" vertical="center" wrapText="1"/>
    </xf>
    <xf numFmtId="3" fontId="21" fillId="0" borderId="4" applyAlignment="1" pivotButton="0" quotePrefix="0" xfId="4">
      <alignment horizontal="left" vertical="center" wrapText="1"/>
    </xf>
    <xf numFmtId="179" fontId="21" fillId="0" borderId="4" applyAlignment="1" pivotButton="0" quotePrefix="0" xfId="4">
      <alignment horizontal="left" vertical="center" wrapText="1"/>
    </xf>
    <xf numFmtId="166" fontId="21" fillId="0" borderId="4" applyAlignment="1" pivotButton="0" quotePrefix="0" xfId="1">
      <alignment horizontal="left" vertical="center" wrapText="1"/>
    </xf>
    <xf numFmtId="166" fontId="19" fillId="0" borderId="6" pivotButton="0" quotePrefix="0" xfId="1"/>
    <xf numFmtId="166" fontId="19" fillId="0" borderId="22" pivotButton="0" quotePrefix="0" xfId="1"/>
    <xf numFmtId="0" fontId="22" fillId="6" borderId="23" applyAlignment="1" pivotButton="0" quotePrefix="0" xfId="4">
      <alignment horizontal="left" vertical="center" wrapText="1"/>
    </xf>
    <xf numFmtId="164" fontId="21" fillId="0" borderId="4" applyAlignment="1" pivotButton="0" quotePrefix="0" xfId="4">
      <alignment horizontal="left" vertical="center"/>
    </xf>
    <xf numFmtId="0" fontId="10" fillId="0" borderId="4" applyAlignment="1" pivotButton="0" quotePrefix="0" xfId="4">
      <alignment horizontal="left" vertical="center"/>
    </xf>
    <xf numFmtId="0" fontId="10" fillId="0" borderId="4" applyAlignment="1" pivotButton="0" quotePrefix="0" xfId="4">
      <alignment horizontal="left" vertical="center" wrapText="1"/>
    </xf>
    <xf numFmtId="0" fontId="18" fillId="6" borderId="20" applyAlignment="1" pivotButton="0" quotePrefix="0" xfId="4">
      <alignment horizontal="left" vertical="center" wrapText="1"/>
    </xf>
    <xf numFmtId="0" fontId="19" fillId="0" borderId="36" pivotButton="0" quotePrefix="0" xfId="4"/>
    <xf numFmtId="0" fontId="18" fillId="6" borderId="37" applyAlignment="1" pivotButton="0" quotePrefix="0" xfId="4">
      <alignment horizontal="left" vertical="center"/>
    </xf>
    <xf numFmtId="0" fontId="19" fillId="0" borderId="38" pivotButton="0" quotePrefix="0" xfId="4"/>
    <xf numFmtId="0" fontId="21" fillId="0" borderId="6" applyAlignment="1" pivotButton="0" quotePrefix="0" xfId="4">
      <alignment horizontal="left" vertical="center"/>
    </xf>
    <xf numFmtId="0" fontId="21" fillId="0" borderId="22" applyAlignment="1" pivotButton="0" quotePrefix="0" xfId="4">
      <alignment horizontal="left" vertical="center"/>
    </xf>
    <xf numFmtId="0" fontId="53" fillId="22" borderId="55" applyAlignment="1" pivotButton="0" quotePrefix="0" xfId="11">
      <alignment horizontal="center" vertical="center"/>
    </xf>
    <xf numFmtId="0" fontId="53" fillId="22" borderId="58" applyAlignment="1" pivotButton="0" quotePrefix="0" xfId="11">
      <alignment vertical="center"/>
    </xf>
    <xf numFmtId="0" fontId="57" fillId="18" borderId="31" applyAlignment="1" pivotButton="0" quotePrefix="0" xfId="0">
      <alignment horizontal="center" vertical="center"/>
    </xf>
    <xf numFmtId="0" fontId="57" fillId="18" borderId="34" applyAlignment="1" pivotButton="0" quotePrefix="0" xfId="0">
      <alignment horizontal="center" vertical="center"/>
    </xf>
    <xf numFmtId="0" fontId="14" fillId="5" borderId="0" applyAlignment="1" pivotButton="0" quotePrefix="0" xfId="4">
      <alignment horizontal="center"/>
    </xf>
    <xf numFmtId="0" fontId="15" fillId="0" borderId="0" pivotButton="0" quotePrefix="0" xfId="4"/>
    <xf numFmtId="0" fontId="32" fillId="13" borderId="0" applyAlignment="1" pivotButton="0" quotePrefix="0" xfId="0">
      <alignment horizontal="center" vertical="center"/>
    </xf>
    <xf numFmtId="0" fontId="0" fillId="0" borderId="0" pivotButton="0" quotePrefix="0" xfId="0"/>
    <xf numFmtId="0" fontId="27" fillId="13" borderId="0" applyAlignment="1" pivotButton="0" quotePrefix="0" xfId="6">
      <alignment horizontal="center"/>
    </xf>
    <xf numFmtId="0" fontId="28" fillId="13" borderId="0" applyAlignment="1" pivotButton="0" quotePrefix="0" xfId="0">
      <alignment horizontal="center"/>
    </xf>
    <xf numFmtId="0" fontId="31" fillId="15" borderId="0" applyAlignment="1" pivotButton="0" quotePrefix="0" xfId="0">
      <alignment horizontal="center" vertical="center" wrapText="1"/>
    </xf>
    <xf numFmtId="0" fontId="28" fillId="13" borderId="0" pivotButton="0" quotePrefix="0" xfId="0"/>
    <xf numFmtId="0" fontId="28" fillId="0" borderId="0" pivotButton="0" quotePrefix="0" xfId="0"/>
    <xf numFmtId="0" fontId="30" fillId="12" borderId="0" pivotButton="0" quotePrefix="0" xfId="0"/>
    <xf numFmtId="0" fontId="28" fillId="11" borderId="0" pivotButton="0" quotePrefix="0" xfId="0"/>
    <xf numFmtId="0" fontId="31" fillId="11" borderId="0" applyAlignment="1" pivotButton="0" quotePrefix="0" xfId="0">
      <alignment horizontal="center" vertical="center"/>
    </xf>
    <xf numFmtId="0" fontId="32" fillId="14" borderId="0" pivotButton="0" quotePrefix="0" xfId="0"/>
    <xf numFmtId="0" fontId="32" fillId="13" borderId="0" applyAlignment="1" pivotButton="0" quotePrefix="0" xfId="0">
      <alignment horizontal="center"/>
    </xf>
    <xf numFmtId="0" fontId="28" fillId="16" borderId="0" applyAlignment="1" pivotButton="0" quotePrefix="0" xfId="0">
      <alignment horizontal="center"/>
    </xf>
    <xf numFmtId="0" fontId="28" fillId="17" borderId="0" pivotButton="0" quotePrefix="0" xfId="0"/>
    <xf numFmtId="0" fontId="34" fillId="0" borderId="1" applyAlignment="1" pivotButton="0" quotePrefix="0" xfId="0">
      <alignment horizontal="left" vertical="top" wrapText="1"/>
    </xf>
    <xf numFmtId="0" fontId="27" fillId="0" borderId="1" applyAlignment="1" pivotButton="0" quotePrefix="0" xfId="6">
      <alignment horizontal="left" vertical="top" wrapText="1"/>
    </xf>
    <xf numFmtId="0" fontId="24" fillId="0" borderId="40" applyAlignment="1" pivotButton="0" quotePrefix="0" xfId="0">
      <alignment horizontal="left" vertical="center"/>
    </xf>
    <xf numFmtId="0" fontId="24" fillId="0" borderId="15" applyAlignment="1" pivotButton="0" quotePrefix="0" xfId="0">
      <alignment horizontal="left" vertical="center"/>
    </xf>
    <xf numFmtId="0" fontId="24" fillId="0" borderId="56" applyAlignment="1" pivotButton="0" quotePrefix="0" xfId="0">
      <alignment horizontal="left" vertical="center"/>
    </xf>
    <xf numFmtId="0" fontId="24" fillId="0" borderId="57" applyAlignment="1" pivotButton="0" quotePrefix="0" xfId="0">
      <alignment horizontal="left" vertical="center"/>
    </xf>
    <xf numFmtId="0" fontId="24" fillId="0" borderId="14" applyAlignment="1" pivotButton="0" quotePrefix="0" xfId="0">
      <alignment horizontal="left" vertical="center"/>
    </xf>
    <xf numFmtId="0" fontId="24" fillId="0" borderId="16" applyAlignment="1" pivotButton="0" quotePrefix="0" xfId="0">
      <alignment horizontal="left" vertical="center"/>
    </xf>
    <xf numFmtId="0" fontId="10" fillId="0" borderId="14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0" fontId="10" fillId="0" borderId="17" applyAlignment="1" pivotButton="0" quotePrefix="0" xfId="0">
      <alignment horizontal="left" vertical="center"/>
    </xf>
    <xf numFmtId="0" fontId="24" fillId="0" borderId="14" applyAlignment="1" pivotButton="0" quotePrefix="0" xfId="0">
      <alignment horizontal="left" vertical="center" wrapText="1"/>
    </xf>
    <xf numFmtId="0" fontId="24" fillId="0" borderId="1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41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10" fillId="0" borderId="1" applyAlignment="1" pivotButton="0" quotePrefix="0" xfId="4">
      <alignment horizontal="left" vertical="center"/>
    </xf>
    <xf numFmtId="0" fontId="19" fillId="0" borderId="1" pivotButton="0" quotePrefix="0" xfId="4"/>
    <xf numFmtId="0" fontId="1" fillId="0" borderId="0" pivotButton="0" quotePrefix="0" xfId="0"/>
    <xf numFmtId="165" fontId="34" fillId="0" borderId="1" applyAlignment="1" pivotButton="0" quotePrefix="0" xfId="1">
      <alignment horizontal="left"/>
    </xf>
    <xf numFmtId="165" fontId="34" fillId="0" borderId="0" pivotButton="0" quotePrefix="0" xfId="0"/>
    <xf numFmtId="167" fontId="34" fillId="0" borderId="1" applyAlignment="1" pivotButton="0" quotePrefix="0" xfId="0">
      <alignment horizontal="left"/>
    </xf>
    <xf numFmtId="168" fontId="34" fillId="0" borderId="1" applyAlignment="1" pivotButton="0" quotePrefix="0" xfId="0">
      <alignment horizontal="left"/>
    </xf>
    <xf numFmtId="168" fontId="34" fillId="0" borderId="0" applyAlignment="1" pivotButton="0" quotePrefix="0" xfId="0">
      <alignment horizontal="left"/>
    </xf>
    <xf numFmtId="168" fontId="33" fillId="0" borderId="1" applyAlignment="1" pivotButton="0" quotePrefix="0" xfId="0">
      <alignment horizontal="left"/>
    </xf>
    <xf numFmtId="0" fontId="0" fillId="0" borderId="67" pivotButton="0" quotePrefix="0" xfId="0"/>
    <xf numFmtId="0" fontId="0" fillId="0" borderId="69" pivotButton="0" quotePrefix="0" xfId="0"/>
    <xf numFmtId="0" fontId="0" fillId="0" borderId="70" pivotButton="0" quotePrefix="0" xfId="0"/>
  </cellXfs>
  <cellStyles count="13">
    <cellStyle name="Normal" xfId="0" builtinId="0"/>
    <cellStyle name="Comma" xfId="1" builtinId="3"/>
    <cellStyle name="Good" xfId="2" builtinId="26"/>
    <cellStyle name="Neutral" xfId="3" builtinId="28"/>
    <cellStyle name="Normal 2" xfId="4"/>
    <cellStyle name="Hyperlink 2" xfId="5"/>
    <cellStyle name="Hyperlink" xfId="6" builtinId="8"/>
    <cellStyle name="Normal 3" xfId="7"/>
    <cellStyle name="Hyperlink 3" xfId="8"/>
    <cellStyle name="Comma 2" xfId="9"/>
    <cellStyle name="Currency" xfId="10" builtinId="4"/>
    <cellStyle name="Input" xfId="11" builtinId="20"/>
    <cellStyle name="Normal 4" xfId="12"/>
  </cellStyles>
  <dxfs count="14"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numFmt numFmtId="2" formatCode="0.00"/>
    </dxf>
    <dxf/>
    <dxf>
      <numFmt numFmtId="165" formatCode="_-* #,##0.00\ &quot;zł&quot;_-;\-* #,##0.00\ &quot;zł&quot;_-;_-* &quot;-&quot;??\ &quot;zł&quot;_-;_-@_-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2"/>
        <vertAlign val="baseline"/>
      </font>
      <fill>
        <patternFill patternType="solid">
          <fgColor rgb="FF000000"/>
          <bgColor rgb="FFA5A5A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0</col>
      <colOff>2011027</colOff>
      <row>3</row>
      <rowOff>2313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655762" cy="56429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D37"/>
  <sheetViews>
    <sheetView workbookViewId="0">
      <selection activeCell="B15" sqref="B15"/>
    </sheetView>
  </sheetViews>
  <sheetFormatPr baseColWidth="8" defaultColWidth="11.3984375" defaultRowHeight="15"/>
  <cols>
    <col width="41.3984375" bestFit="1" customWidth="1" style="53" min="1" max="1"/>
    <col width="25.86328125" customWidth="1" style="53" min="2" max="2"/>
    <col width="26.1328125" bestFit="1" customWidth="1" style="53" min="3" max="3"/>
    <col width="12.1328125" bestFit="1" customWidth="1" style="53" min="4" max="4"/>
    <col width="11.3984375" customWidth="1" style="53" min="5" max="16384"/>
  </cols>
  <sheetData>
    <row r="4">
      <c r="A4" s="52" t="inlineStr">
        <is>
          <t>Adverty Direct Campaign Brief Form</t>
        </is>
      </c>
    </row>
    <row r="7">
      <c r="A7" s="54" t="inlineStr">
        <is>
          <t>Date</t>
        </is>
      </c>
      <c r="B7" s="55">
        <f>TODAY()</f>
        <v/>
      </c>
    </row>
    <row r="8" ht="30" customHeight="1" s="245">
      <c r="A8" s="54" t="inlineStr">
        <is>
          <t>Seller</t>
        </is>
      </c>
      <c r="B8" s="56">
        <f>IF(Kampania!H3="Sp. k.",Podmioty!C20,IF(Kampania!H3="Sp. z o.o.", Podmioty!C21))</f>
        <v/>
      </c>
    </row>
    <row r="9">
      <c r="A9" s="54" t="inlineStr">
        <is>
          <t>Agency</t>
        </is>
      </c>
      <c r="B9" s="56">
        <f>Zlecenie!C8</f>
        <v/>
      </c>
    </row>
    <row r="10">
      <c r="A10" s="54" t="inlineStr">
        <is>
          <t>Advertiser</t>
        </is>
      </c>
      <c r="B10" s="56">
        <f>Zlecenie!C13</f>
        <v/>
      </c>
    </row>
    <row r="11" ht="45" customHeight="1" s="245">
      <c r="A11" s="54" t="inlineStr">
        <is>
          <t>Campaign Name</t>
        </is>
      </c>
      <c r="B11" s="56">
        <f>Zlecenie!C16</f>
        <v/>
      </c>
    </row>
    <row r="12">
      <c r="A12" s="54" t="inlineStr">
        <is>
          <t>Start Date</t>
        </is>
      </c>
      <c r="B12" s="57">
        <f>Zlecenie!C24</f>
        <v/>
      </c>
    </row>
    <row r="13">
      <c r="A13" s="54" t="inlineStr">
        <is>
          <t>End Date</t>
        </is>
      </c>
      <c r="B13" s="57">
        <f>Zlecenie!C25</f>
        <v/>
      </c>
    </row>
    <row r="14">
      <c r="A14" s="54" t="inlineStr">
        <is>
          <t>Booked Impressions</t>
        </is>
      </c>
      <c r="B14" s="285">
        <f>Zlecenie!C20</f>
        <v/>
      </c>
      <c r="C14" s="286" t="n"/>
      <c r="D14" s="286" t="n"/>
    </row>
    <row r="15">
      <c r="A15" s="54" t="inlineStr">
        <is>
          <t>CPM</t>
        </is>
      </c>
      <c r="B15" s="287">
        <f>IF(Kampania!G3="In-game DOOH VIDEO ADULTS",5,IF(Kampania!G3="In-game DOOH VIDEO KIDS",5,IF(Kampania!G3="In-game DOOH DISPLAY ADULTS",3.5,IF(Kampania!G3="In-game DOOH DISPLAY KIDS",3.5))))</f>
        <v/>
      </c>
    </row>
    <row r="16">
      <c r="A16" s="54" t="inlineStr">
        <is>
          <t>Budget</t>
        </is>
      </c>
      <c r="B16" s="288">
        <f>B14*B15/1000</f>
        <v/>
      </c>
    </row>
    <row r="17">
      <c r="A17" s="52" t="n"/>
      <c r="B17" s="289" t="n"/>
    </row>
    <row r="18">
      <c r="A18" s="54" t="inlineStr">
        <is>
          <t>Creative Type</t>
        </is>
      </c>
      <c r="B18" s="290" t="inlineStr">
        <is>
          <t>Y/N</t>
        </is>
      </c>
      <c r="C18" s="54" t="inlineStr">
        <is>
          <t>Impression Breakdown</t>
        </is>
      </c>
      <c r="D18" s="53" t="inlineStr">
        <is>
          <t>(if applied)</t>
        </is>
      </c>
    </row>
    <row r="19">
      <c r="A19" s="64" t="inlineStr">
        <is>
          <t>Display / GIF</t>
        </is>
      </c>
      <c r="B19" s="64">
        <f>IF(B15=5,"N",IF(B15=3.5,"Y"))</f>
        <v/>
      </c>
      <c r="C19" s="65">
        <f>IF(B19="Y",100%,0%)</f>
        <v/>
      </c>
    </row>
    <row r="20">
      <c r="A20" s="64" t="inlineStr">
        <is>
          <t>Video</t>
        </is>
      </c>
      <c r="B20" s="64">
        <f>IF(B15=5,"Y",IF(B15=3.5,"N"))</f>
        <v/>
      </c>
      <c r="C20" s="65">
        <f>100%-C19</f>
        <v/>
      </c>
    </row>
    <row r="22">
      <c r="A22" s="54" t="inlineStr">
        <is>
          <t>Unit Type</t>
        </is>
      </c>
      <c r="B22" s="54" t="inlineStr">
        <is>
          <t>Y/N</t>
        </is>
      </c>
      <c r="C22" s="54" t="inlineStr">
        <is>
          <t>Impression Breakdown</t>
        </is>
      </c>
      <c r="D22" s="53" t="inlineStr">
        <is>
          <t>(if applied)</t>
        </is>
      </c>
    </row>
    <row r="23">
      <c r="A23" s="64" t="inlineStr">
        <is>
          <t>In-Play</t>
        </is>
      </c>
      <c r="B23" s="64" t="inlineStr">
        <is>
          <t>Y</t>
        </is>
      </c>
      <c r="C23" s="65" t="n"/>
    </row>
    <row r="24">
      <c r="A24" s="64" t="inlineStr">
        <is>
          <t>In-Menu / Clickable</t>
        </is>
      </c>
      <c r="B24" s="64" t="inlineStr">
        <is>
          <t>Y</t>
        </is>
      </c>
      <c r="C24" s="65" t="n"/>
    </row>
    <row r="26">
      <c r="A26" s="54" t="inlineStr">
        <is>
          <t>Geo Breakdown</t>
        </is>
      </c>
    </row>
    <row r="27">
      <c r="A27" s="64" t="inlineStr">
        <is>
          <t>Country</t>
        </is>
      </c>
      <c r="B27" s="64" t="inlineStr">
        <is>
          <t>Poland</t>
        </is>
      </c>
    </row>
    <row r="28">
      <c r="A28" s="64" t="inlineStr">
        <is>
          <t>City</t>
        </is>
      </c>
      <c r="B28" s="64" t="n"/>
    </row>
    <row r="30">
      <c r="A30" s="66" t="inlineStr">
        <is>
          <t>Targeting Details</t>
        </is>
      </c>
      <c r="B30" s="258">
        <f>Zlecenie!C17</f>
        <v/>
      </c>
      <c r="C30" s="291" t="n"/>
    </row>
    <row r="31">
      <c r="B31" s="292" t="n"/>
      <c r="C31" s="293" t="n"/>
    </row>
    <row r="32">
      <c r="B32" s="67" t="n"/>
      <c r="C32" s="67" t="n"/>
    </row>
    <row r="33">
      <c r="A33" s="66" t="inlineStr">
        <is>
          <t>Trackers</t>
        </is>
      </c>
      <c r="B33" s="259" t="n"/>
      <c r="C33" s="291" t="n"/>
    </row>
    <row r="34">
      <c r="B34" s="292" t="n"/>
      <c r="C34" s="293" t="n"/>
    </row>
    <row r="36">
      <c r="A36" s="54" t="inlineStr">
        <is>
          <t>KPIs</t>
        </is>
      </c>
      <c r="B36" s="258" t="n"/>
      <c r="C36" s="291" t="n"/>
    </row>
    <row r="37">
      <c r="B37" s="292" t="n"/>
      <c r="C37" s="293" t="n"/>
    </row>
  </sheetData>
  <mergeCells count="3">
    <mergeCell ref="B33:C34"/>
    <mergeCell ref="B36:C37"/>
    <mergeCell ref="B30:C31"/>
  </mergeCells>
  <pageMargins left="0.7" right="0.7" top="0.75" bottom="0.75" header="0.3" footer="0.3"/>
  <pageSetup orientation="portrait" paperSize="9" horizontalDpi="4294967293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Igor Samul</dc:creator>
  <dcterms:created xsi:type="dcterms:W3CDTF">2025-10-30T16:52:53Z</dcterms:created>
  <dcterms:modified xsi:type="dcterms:W3CDTF">2026-08-10T14:28:29Z</dcterms:modified>
  <cp:lastModifiedBy>Igor Samul</cp:lastModifiedBy>
</cp:coreProperties>
</file>