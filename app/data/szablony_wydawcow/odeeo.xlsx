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325" yWindow="-16320" windowWidth="38640" windowHeight="16440" tabRatio="832" firstSheet="0" activeTab="0" autoFilterDateGrouping="1"/>
  </bookViews>
  <sheets>
    <sheet name="Odeeo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6">
    <numFmt numFmtId="164" formatCode="dd\.mm\.yyyy"/>
    <numFmt numFmtId="165" formatCode="_(* #,##0_);_(* \(#,##0\);_(* &quot;-&quot;??_);_(@_)"/>
    <numFmt numFmtId="166" formatCode="_-* #,##0.00_-;\-* #,##0.00_-;_-* &quot;-&quot;??_-;_-@_-"/>
    <numFmt numFmtId="167" formatCode="_([$$-409]* #,##0.00_);_([$$-409]* \(#,##0.00\);_([$$-409]* &quot;-&quot;??_);_(@_)"/>
    <numFmt numFmtId="168" formatCode="_([$$-409]* #,##0_);_([$$-409]* \(#,##0\);_([$$-409]* &quot;-&quot;??_);_(@_)"/>
    <numFmt numFmtId="169" formatCode="#,##0.00\ &quot;zł&quot;;[Red]\-#,##0.00\ &quot;zł&quot;"/>
    <numFmt numFmtId="170" formatCode="_-[$$-409]* #,##0.00_ ;_-[$$-409]* \-#,##0.00\ ;_-[$$-409]* &quot;-&quot;??_ ;_-@_ "/>
    <numFmt numFmtId="171" formatCode="_-* #,##0_-;\-* #,##0_-;_-* &quot;-&quot;??_-;_-@_-"/>
    <numFmt numFmtId="172" formatCode="_-[$€-2]\ * #,##0.00_-;\-[$€-2]\ * #,##0.00_-;_-[$€-2]\ * &quot;-&quot;??_-;_-@_-"/>
    <numFmt numFmtId="173" formatCode="dd\/mm\/yyyy"/>
    <numFmt numFmtId="174" formatCode="###,###,###"/>
    <numFmt numFmtId="175" formatCode="_-* #,##0.00\ &quot;zł&quot;_-;\-* #,##0.00\ &quot;zł&quot;_-;_-* &quot;-&quot;??\ &quot;zł&quot;_-;_-@_-"/>
    <numFmt numFmtId="176" formatCode="#,##0.00\ &quot;zł&quot;"/>
    <numFmt numFmtId="177" formatCode="dd/mm/yyyy"/>
    <numFmt numFmtId="178" formatCode="#,##0.00\ &quot;PLN&quot;;[Red]\-#,##0.00\ &quot;PLN&quot;"/>
    <numFmt numFmtId="179" formatCode="#,##0.00\ &quot;PLN&quot;"/>
  </numFmts>
  <fonts count="59">
    <font>
      <name val="Aptos Narrow"/>
      <charset val="238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charset val="238"/>
      <family val="2"/>
      <color theme="1"/>
      <sz val="11"/>
      <scheme val="minor"/>
    </font>
    <font>
      <name val="Aptos Narrow"/>
      <charset val="238"/>
      <family val="2"/>
      <color rgb="FF006100"/>
      <sz val="11"/>
      <scheme val="minor"/>
    </font>
    <font>
      <name val="Aptos Narrow"/>
      <charset val="238"/>
      <family val="2"/>
      <color rgb="FF9C5700"/>
      <sz val="11"/>
      <scheme val="minor"/>
    </font>
    <font>
      <name val="Calibri"/>
      <family val="2"/>
      <b val="1"/>
      <color rgb="FFFFFFFF"/>
      <sz val="12"/>
    </font>
    <font>
      <name val="Calibri"/>
      <family val="2"/>
      <color rgb="FF000000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Arial"/>
      <family val="2"/>
      <b val="1"/>
      <color rgb="FF000000"/>
      <sz val="11"/>
    </font>
    <font>
      <name val="Arial"/>
      <family val="2"/>
      <color theme="1"/>
      <sz val="11"/>
    </font>
    <font>
      <name val="Aptos Narrow"/>
      <family val="2"/>
      <color theme="10"/>
      <sz val="12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sz val="10"/>
    </font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Calibri"/>
      <family val="2"/>
      <b val="1"/>
      <color rgb="FFFFFFFF"/>
      <sz val="11"/>
    </font>
    <font>
      <name val="Calibri"/>
      <family val="2"/>
      <sz val="12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b val="1"/>
      <color rgb="FFFFFFFF"/>
      <sz val="11"/>
      <u val="single"/>
    </font>
    <font>
      <name val="Calibri"/>
      <family val="2"/>
      <color rgb="FF000000"/>
      <sz val="11"/>
      <u val="single"/>
    </font>
    <font>
      <name val="Aptos Narrow"/>
      <family val="2"/>
      <color rgb="FF000000"/>
      <sz val="11"/>
      <scheme val="minor"/>
    </font>
    <font>
      <name val="Arial"/>
      <family val="2"/>
      <b val="1"/>
      <color rgb="FF000000"/>
      <sz val="11"/>
    </font>
    <font>
      <name val="Aptos Narrow"/>
      <charset val="238"/>
      <family val="2"/>
      <sz val="8"/>
      <scheme val="minor"/>
    </font>
    <font>
      <name val="Aptos Narrow"/>
      <charset val="238"/>
      <family val="2"/>
      <color theme="10"/>
      <sz val="11"/>
      <u val="single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2"/>
    </font>
    <font>
      <name val="Calibri"/>
      <family val="2"/>
      <b val="1"/>
      <color theme="1"/>
      <sz val="14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Gotham-Book"/>
      <b val="1"/>
      <color theme="1"/>
      <sz val="12"/>
    </font>
    <font>
      <name val="Gotham-Book"/>
      <color theme="1"/>
      <sz val="12"/>
    </font>
    <font>
      <name val="Czcionka tekstu podstawowego"/>
      <charset val="238"/>
      <family val="2"/>
      <color rgb="FF000000"/>
      <sz val="12"/>
    </font>
    <font>
      <name val="Aptos Narrow"/>
      <charset val="238"/>
      <family val="2"/>
      <color theme="1"/>
      <sz val="12"/>
      <scheme val="minor"/>
    </font>
    <font>
      <name val="Aptos Narrow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Aptos Narrow"/>
      <family val="2"/>
      <sz val="11"/>
      <scheme val="minor"/>
    </font>
    <font>
      <name val="Aptos Narrow"/>
      <family val="2"/>
      <color rgb="FF000000"/>
      <sz val="12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sz val="12"/>
      <scheme val="minor"/>
    </font>
    <font>
      <name val="Aptos Narrow"/>
      <charset val="238"/>
      <family val="2"/>
      <color rgb="FF000000"/>
      <sz val="12"/>
      <scheme val="minor"/>
    </font>
    <font>
      <name val="Arial"/>
      <charset val="238"/>
      <family val="2"/>
      <color rgb="FF000000"/>
      <sz val="10"/>
    </font>
    <font>
      <name val="Calibri"/>
      <charset val="238"/>
      <family val="2"/>
      <color rgb="FF000000"/>
      <sz val="10"/>
    </font>
    <font>
      <name val="Aptos Narrow"/>
      <charset val="238"/>
      <family val="2"/>
      <color rgb="FF000000"/>
      <sz val="10"/>
      <scheme val="minor"/>
    </font>
    <font>
      <name val="Aptos Narrow"/>
      <charset val="238"/>
      <family val="2"/>
      <color theme="1"/>
      <sz val="10"/>
      <scheme val="minor"/>
    </font>
    <font>
      <name val="Arial"/>
      <charset val="238"/>
      <family val="2"/>
      <color rgb="FF0000FF"/>
      <sz val="10"/>
      <u val="single"/>
    </font>
    <font>
      <name val="Aptos Narrow"/>
      <charset val="238"/>
      <family val="2"/>
      <color rgb="FF3F3F76"/>
      <sz val="11"/>
      <scheme val="minor"/>
    </font>
    <font>
      <name val="Aptos Narrow"/>
      <family val="2"/>
      <i val="1"/>
      <color theme="1"/>
      <sz val="11"/>
      <scheme val="minor"/>
    </font>
    <font>
      <name val="Arial"/>
      <family val="2"/>
      <b val="1"/>
      <color theme="0"/>
      <sz val="10"/>
    </font>
    <font>
      <name val="Aptos Narrow"/>
      <family val="2"/>
      <b val="1"/>
      <color rgb="FF3F3F76"/>
      <sz val="26"/>
      <scheme val="minor"/>
    </font>
    <font>
      <name val="Aptos Narrow"/>
      <family val="2"/>
      <b val="1"/>
      <color rgb="FF3F3F76"/>
      <sz val="20"/>
      <scheme val="minor"/>
    </font>
    <font>
      <name val="Aptos Narrow"/>
      <family val="2"/>
      <b val="1"/>
      <color theme="1"/>
      <sz val="20"/>
      <scheme val="minor"/>
    </font>
    <font>
      <name val="Aptos Narrow"/>
      <charset val="238"/>
      <family val="2"/>
      <color rgb="FF000000"/>
      <sz val="11"/>
      <scheme val="minor"/>
    </font>
    <font>
      <name val="Aptos Narrow"/>
      <family val="2"/>
      <b val="1"/>
      <sz val="20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color rgb="FF000000"/>
      <sz val="10"/>
    </font>
  </fonts>
  <fills count="2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A5A5A5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0E0E0"/>
        <bgColor rgb="FFE0E0E0"/>
      </patternFill>
    </fill>
    <fill>
      <patternFill patternType="solid">
        <fgColor rgb="FFD9D9D9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CC99"/>
      </patternFill>
    </fill>
    <fill>
      <patternFill patternType="solid">
        <fgColor rgb="FF0070C0"/>
        <bgColor rgb="FFF46524"/>
      </patternFill>
    </fill>
    <fill>
      <patternFill patternType="solid">
        <fgColor rgb="FF00B0F0"/>
        <bgColor rgb="FF000000"/>
      </patternFill>
    </fill>
    <fill>
      <patternFill patternType="solid">
        <fgColor theme="0" tint="-0.249977111117893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7F7F7F"/>
      </right>
      <top style="medium">
        <color indexed="64"/>
      </top>
      <bottom/>
      <diagonal/>
    </border>
    <border>
      <left/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medium">
        <color rgb="FF000000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rgb="FF000000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</borders>
  <cellStyleXfs count="13">
    <xf numFmtId="0" fontId="4" fillId="0" borderId="0"/>
    <xf numFmtId="166" fontId="4" fillId="0" borderId="0"/>
    <xf numFmtId="0" fontId="5" fillId="2" borderId="0"/>
    <xf numFmtId="0" fontId="6" fillId="3" borderId="0"/>
    <xf numFmtId="0" fontId="16" fillId="0" borderId="0"/>
    <xf numFmtId="0" fontId="13" fillId="0" borderId="0"/>
    <xf numFmtId="0" fontId="27" fillId="0" borderId="0"/>
    <xf numFmtId="0" fontId="37" fillId="0" borderId="0"/>
    <xf numFmtId="0" fontId="38" fillId="0" borderId="0" applyAlignment="1" applyProtection="1">
      <alignment vertical="top"/>
      <protection locked="0" hidden="0"/>
    </xf>
    <xf numFmtId="166" fontId="37" fillId="0" borderId="0"/>
    <xf numFmtId="175" fontId="4" fillId="0" borderId="0"/>
    <xf numFmtId="0" fontId="49" fillId="22" borderId="52"/>
    <xf numFmtId="0" fontId="37" fillId="0" borderId="0"/>
  </cellStyleXfs>
  <cellXfs count="289">
    <xf numFmtId="0" fontId="0" fillId="0" borderId="0" pivotButton="0" quotePrefix="0" xfId="0"/>
    <xf numFmtId="0" fontId="10" fillId="0" borderId="0" applyAlignment="1" pivotButton="0" quotePrefix="0" xfId="0">
      <alignment wrapText="1"/>
    </xf>
    <xf numFmtId="0" fontId="16" fillId="0" borderId="0" pivotButton="0" quotePrefix="0" xfId="4"/>
    <xf numFmtId="3" fontId="12" fillId="0" borderId="2" applyAlignment="1" pivotButton="0" quotePrefix="0" xfId="4">
      <alignment horizontal="left" vertical="top" wrapText="1"/>
    </xf>
    <xf numFmtId="0" fontId="11" fillId="0" borderId="2" applyAlignment="1" pivotButton="0" quotePrefix="0" xfId="4">
      <alignment vertical="top"/>
    </xf>
    <xf numFmtId="0" fontId="12" fillId="0" borderId="2" applyAlignment="1" pivotButton="0" quotePrefix="0" xfId="4">
      <alignment horizontal="left" vertical="top" wrapText="1"/>
    </xf>
    <xf numFmtId="3" fontId="13" fillId="0" borderId="2" applyAlignment="1" pivotButton="0" quotePrefix="0" xfId="5">
      <alignment horizontal="center" vertical="top" wrapText="1"/>
    </xf>
    <xf numFmtId="0" fontId="13" fillId="0" borderId="2" applyAlignment="1" pivotButton="0" quotePrefix="0" xfId="5">
      <alignment horizontal="left" vertical="top" wrapText="1"/>
    </xf>
    <xf numFmtId="164" fontId="12" fillId="0" borderId="5" applyAlignment="1" pivotButton="0" quotePrefix="0" xfId="4">
      <alignment horizontal="center" vertical="top" wrapText="1"/>
    </xf>
    <xf numFmtId="164" fontId="12" fillId="0" borderId="1" applyAlignment="1" pivotButton="0" quotePrefix="0" xfId="4">
      <alignment horizontal="center" vertical="top" wrapText="1"/>
    </xf>
    <xf numFmtId="0" fontId="11" fillId="0" borderId="4" applyAlignment="1" pivotButton="0" quotePrefix="0" xfId="4">
      <alignment vertical="top"/>
    </xf>
    <xf numFmtId="165" fontId="12" fillId="0" borderId="1" applyAlignment="1" pivotButton="0" quotePrefix="0" xfId="4">
      <alignment horizontal="left" vertical="top" wrapText="1"/>
    </xf>
    <xf numFmtId="0" fontId="12" fillId="0" borderId="1" applyAlignment="1" pivotButton="0" quotePrefix="0" xfId="4">
      <alignment horizontal="left" vertical="top" wrapText="1"/>
    </xf>
    <xf numFmtId="3" fontId="12" fillId="0" borderId="1" applyAlignment="1" pivotButton="0" quotePrefix="0" xfId="4">
      <alignment horizontal="left" vertical="top" wrapText="1"/>
    </xf>
    <xf numFmtId="3" fontId="12" fillId="0" borderId="3" applyAlignment="1" pivotButton="0" quotePrefix="0" xfId="4">
      <alignment horizontal="left" vertical="top" wrapText="1"/>
    </xf>
    <xf numFmtId="0" fontId="17" fillId="0" borderId="0" applyAlignment="1" pivotButton="0" quotePrefix="0" xfId="4">
      <alignment horizontal="left" vertical="center"/>
    </xf>
    <xf numFmtId="0" fontId="20" fillId="8" borderId="2" applyAlignment="1" pivotButton="0" quotePrefix="0" xfId="4">
      <alignment horizontal="left" vertical="center" wrapText="1"/>
    </xf>
    <xf numFmtId="0" fontId="20" fillId="8" borderId="4" applyAlignment="1" pivotButton="0" quotePrefix="0" xfId="4">
      <alignment horizontal="left" vertical="center" wrapText="1"/>
    </xf>
    <xf numFmtId="0" fontId="20" fillId="8" borderId="7" applyAlignment="1" pivotButton="0" quotePrefix="0" xfId="4">
      <alignment horizontal="left" vertical="center" wrapText="1"/>
    </xf>
    <xf numFmtId="0" fontId="21" fillId="0" borderId="0" applyAlignment="1" pivotButton="0" quotePrefix="0" xfId="4">
      <alignment horizontal="left" vertical="center"/>
    </xf>
    <xf numFmtId="0" fontId="20" fillId="8" borderId="8" applyAlignment="1" pivotButton="0" quotePrefix="0" xfId="4">
      <alignment horizontal="left" vertical="center" wrapText="1"/>
    </xf>
    <xf numFmtId="0" fontId="21" fillId="0" borderId="2" applyAlignment="1" pivotButton="0" quotePrefix="0" xfId="4">
      <alignment horizontal="left" vertical="center"/>
    </xf>
    <xf numFmtId="0" fontId="17" fillId="0" borderId="9" applyAlignment="1" pivotButton="0" quotePrefix="0" xfId="4">
      <alignment horizontal="left" vertical="center"/>
    </xf>
    <xf numFmtId="0" fontId="17" fillId="0" borderId="10" applyAlignment="1" pivotButton="0" quotePrefix="0" xfId="4">
      <alignment horizontal="left" vertical="center"/>
    </xf>
    <xf numFmtId="0" fontId="17" fillId="0" borderId="11" applyAlignment="1" pivotButton="0" quotePrefix="0" xfId="4">
      <alignment horizontal="left" vertical="center"/>
    </xf>
    <xf numFmtId="0" fontId="17" fillId="0" borderId="12" applyAlignment="1" pivotButton="0" quotePrefix="0" xfId="4">
      <alignment horizontal="left" vertical="center"/>
    </xf>
    <xf numFmtId="0" fontId="17" fillId="0" borderId="13" applyAlignment="1" pivotButton="0" quotePrefix="0" xfId="4">
      <alignment horizontal="left" vertical="center"/>
    </xf>
    <xf numFmtId="0" fontId="9" fillId="10" borderId="14" applyAlignment="1" pivotButton="0" quotePrefix="0" xfId="0">
      <alignment horizontal="left" vertical="center" wrapText="1"/>
    </xf>
    <xf numFmtId="166" fontId="12" fillId="0" borderId="2" applyAlignment="1" pivotButton="0" quotePrefix="0" xfId="1">
      <alignment horizontal="left" vertical="top" wrapText="1"/>
    </xf>
    <xf numFmtId="0" fontId="9" fillId="8" borderId="8" applyAlignment="1" pivotButton="0" quotePrefix="0" xfId="4">
      <alignment horizontal="left" vertical="center" wrapText="1"/>
    </xf>
    <xf numFmtId="0" fontId="25" fillId="0" borderId="2" applyAlignment="1" pivotButton="0" quotePrefix="0" xfId="4">
      <alignment vertical="top"/>
    </xf>
    <xf numFmtId="0" fontId="25" fillId="0" borderId="4" applyAlignment="1" pivotButton="0" quotePrefix="0" xfId="4">
      <alignment vertical="top"/>
    </xf>
    <xf numFmtId="0" fontId="28" fillId="0" borderId="0" pivotButton="0" quotePrefix="0" xfId="0"/>
    <xf numFmtId="0" fontId="28" fillId="11" borderId="0" pivotButton="0" quotePrefix="0" xfId="0"/>
    <xf numFmtId="0" fontId="29" fillId="12" borderId="0" pivotButton="0" quotePrefix="0" xfId="0"/>
    <xf numFmtId="0" fontId="28" fillId="12" borderId="0" pivotButton="0" quotePrefix="0" xfId="0"/>
    <xf numFmtId="0" fontId="31" fillId="11" borderId="0" applyAlignment="1" pivotButton="0" quotePrefix="0" xfId="0">
      <alignment horizontal="center" vertical="center"/>
    </xf>
    <xf numFmtId="0" fontId="28" fillId="13" borderId="0" pivotButton="0" quotePrefix="0" xfId="0"/>
    <xf numFmtId="0" fontId="28" fillId="16" borderId="0" applyAlignment="1" pivotButton="0" quotePrefix="0" xfId="0">
      <alignment horizontal="center"/>
    </xf>
    <xf numFmtId="0" fontId="31" fillId="11" borderId="0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center" vertical="center"/>
    </xf>
    <xf numFmtId="0" fontId="28" fillId="17" borderId="0" pivotButton="0" quotePrefix="0" xfId="0"/>
    <xf numFmtId="0" fontId="28" fillId="17" borderId="0" applyAlignment="1" pivotButton="0" quotePrefix="0" xfId="0">
      <alignment horizontal="center"/>
    </xf>
    <xf numFmtId="0" fontId="28" fillId="17" borderId="0" applyAlignment="1" pivotButton="0" quotePrefix="0" xfId="0">
      <alignment horizontal="center" wrapText="1"/>
    </xf>
    <xf numFmtId="14" fontId="28" fillId="16" borderId="0" pivotButton="0" quotePrefix="0" xfId="0"/>
    <xf numFmtId="0" fontId="28" fillId="13" borderId="0" applyAlignment="1" pivotButton="0" quotePrefix="0" xfId="0">
      <alignment horizontal="center" vertical="center"/>
    </xf>
    <xf numFmtId="0" fontId="28" fillId="16" borderId="0" applyAlignment="1" pivotButton="0" quotePrefix="0" xfId="0">
      <alignment horizontal="center" vertical="center"/>
    </xf>
    <xf numFmtId="0" fontId="28" fillId="16" borderId="0" pivotButton="0" quotePrefix="0" xfId="0"/>
    <xf numFmtId="3" fontId="28" fillId="13" borderId="0" pivotButton="0" quotePrefix="0" xfId="0"/>
    <xf numFmtId="2" fontId="28" fillId="13" borderId="0" pivotButton="0" quotePrefix="0" xfId="0"/>
    <xf numFmtId="0" fontId="28" fillId="13" borderId="0" applyAlignment="1" pivotButton="0" quotePrefix="0" xfId="0">
      <alignment horizontal="center" wrapText="1"/>
    </xf>
    <xf numFmtId="0" fontId="33" fillId="0" borderId="0" pivotButton="0" quotePrefix="0" xfId="0"/>
    <xf numFmtId="0" fontId="34" fillId="0" borderId="0" pivotButton="0" quotePrefix="0" xfId="0"/>
    <xf numFmtId="0" fontId="33" fillId="0" borderId="1" pivotButton="0" quotePrefix="0" xfId="0"/>
    <xf numFmtId="14" fontId="34" fillId="0" borderId="1" applyAlignment="1" pivotButton="0" quotePrefix="0" xfId="0">
      <alignment horizontal="left"/>
    </xf>
    <xf numFmtId="0" fontId="34" fillId="0" borderId="1" applyAlignment="1" pivotButton="0" quotePrefix="0" xfId="0">
      <alignment horizontal="left" wrapText="1"/>
    </xf>
    <xf numFmtId="14" fontId="34" fillId="0" borderId="1" applyAlignment="1" pivotButton="0" quotePrefix="0" xfId="0">
      <alignment horizontal="left" wrapText="1"/>
    </xf>
    <xf numFmtId="165" fontId="34" fillId="0" borderId="1" applyAlignment="1" pivotButton="0" quotePrefix="0" xfId="1">
      <alignment horizontal="left"/>
    </xf>
    <xf numFmtId="165" fontId="34" fillId="0" borderId="0" pivotButton="0" quotePrefix="0" xfId="0"/>
    <xf numFmtId="167" fontId="34" fillId="0" borderId="1" applyAlignment="1" pivotButton="0" quotePrefix="0" xfId="0">
      <alignment horizontal="left"/>
    </xf>
    <xf numFmtId="168" fontId="34" fillId="0" borderId="1" applyAlignment="1" pivotButton="0" quotePrefix="0" xfId="0">
      <alignment horizontal="left"/>
    </xf>
    <xf numFmtId="168" fontId="34" fillId="0" borderId="0" applyAlignment="1" pivotButton="0" quotePrefix="0" xfId="0">
      <alignment horizontal="left"/>
    </xf>
    <xf numFmtId="168" fontId="33" fillId="0" borderId="1" applyAlignment="1" pivotButton="0" quotePrefix="0" xfId="0">
      <alignment horizontal="left"/>
    </xf>
    <xf numFmtId="0" fontId="34" fillId="0" borderId="1" pivotButton="0" quotePrefix="0" xfId="0"/>
    <xf numFmtId="9" fontId="34" fillId="0" borderId="1" pivotButton="0" quotePrefix="0" xfId="0"/>
    <xf numFmtId="0" fontId="33" fillId="0" borderId="14" pivotButton="0" quotePrefix="0" xfId="0"/>
    <xf numFmtId="0" fontId="34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6" fillId="3" borderId="0" pivotButton="0" quotePrefix="0" xfId="3"/>
    <xf numFmtId="0" fontId="5" fillId="2" borderId="18" applyAlignment="1" pivotButton="0" quotePrefix="0" xfId="2">
      <alignment horizontal="center" vertical="center" wrapText="1"/>
    </xf>
    <xf numFmtId="166" fontId="5" fillId="2" borderId="18" applyAlignment="1" pivotButton="0" quotePrefix="0" xfId="2">
      <alignment horizontal="center" vertical="center" wrapText="1"/>
    </xf>
    <xf numFmtId="169" fontId="5" fillId="2" borderId="18" applyAlignment="1" pivotButton="0" quotePrefix="0" xfId="2">
      <alignment horizontal="center" vertical="center" wrapText="1"/>
    </xf>
    <xf numFmtId="169" fontId="5" fillId="2" borderId="18" applyAlignment="1" pivotButton="0" quotePrefix="0" xfId="2">
      <alignment horizontal="center" vertical="center"/>
    </xf>
    <xf numFmtId="14" fontId="5" fillId="2" borderId="18" applyAlignment="1" pivotButton="0" quotePrefix="0" xfId="2">
      <alignment horizontal="center" vertical="center" wrapText="1"/>
    </xf>
    <xf numFmtId="3" fontId="5" fillId="2" borderId="18" applyAlignment="1" pivotButton="0" quotePrefix="0" xfId="2">
      <alignment horizontal="center" vertical="center" wrapText="1"/>
    </xf>
    <xf numFmtId="0" fontId="5" fillId="2" borderId="18" applyAlignment="1" pivotButton="0" quotePrefix="0" xfId="2">
      <alignment horizontal="right" vertical="center" wrapText="1"/>
    </xf>
    <xf numFmtId="10" fontId="5" fillId="2" borderId="18" applyAlignment="1" pivotButton="0" quotePrefix="0" xfId="2">
      <alignment horizontal="center" vertical="center"/>
    </xf>
    <xf numFmtId="0" fontId="5" fillId="2" borderId="18" applyAlignment="1" pivotButton="0" quotePrefix="0" xfId="2">
      <alignment horizontal="center" vertical="center"/>
    </xf>
    <xf numFmtId="170" fontId="5" fillId="2" borderId="18" applyAlignment="1" pivotButton="0" quotePrefix="0" xfId="2">
      <alignment wrapText="1"/>
    </xf>
    <xf numFmtId="0" fontId="10" fillId="0" borderId="18" applyAlignment="1" pivotButton="0" quotePrefix="0" xfId="0">
      <alignment wrapText="1"/>
    </xf>
    <xf numFmtId="0" fontId="8" fillId="0" borderId="19" applyAlignment="1" pivotButton="0" quotePrefix="0" xfId="0">
      <alignment horizontal="center" vertical="center"/>
    </xf>
    <xf numFmtId="0" fontId="35" fillId="0" borderId="19" pivotButton="0" quotePrefix="0" xfId="0"/>
    <xf numFmtId="0" fontId="36" fillId="0" borderId="19" pivotButton="0" quotePrefix="0" xfId="0"/>
    <xf numFmtId="0" fontId="20" fillId="8" borderId="21" applyAlignment="1" pivotButton="0" quotePrefix="0" xfId="4">
      <alignment horizontal="left" vertical="center" wrapText="1"/>
    </xf>
    <xf numFmtId="0" fontId="20" fillId="8" borderId="24" applyAlignment="1" pivotButton="0" quotePrefix="0" xfId="4">
      <alignment horizontal="left" vertical="center" wrapText="1"/>
    </xf>
    <xf numFmtId="0" fontId="20" fillId="9" borderId="21" applyAlignment="1" pivotButton="0" quotePrefix="0" xfId="4">
      <alignment horizontal="left" vertical="center" wrapText="1"/>
    </xf>
    <xf numFmtId="0" fontId="21" fillId="0" borderId="25" applyAlignment="1" pivotButton="0" quotePrefix="0" xfId="4">
      <alignment horizontal="left" vertical="center" wrapText="1"/>
    </xf>
    <xf numFmtId="0" fontId="20" fillId="8" borderId="25" applyAlignment="1" pivotButton="0" quotePrefix="0" xfId="4">
      <alignment horizontal="left" vertical="center"/>
    </xf>
    <xf numFmtId="0" fontId="17" fillId="0" borderId="26" applyAlignment="1" pivotButton="0" quotePrefix="0" xfId="4">
      <alignment horizontal="left" vertical="center"/>
    </xf>
    <xf numFmtId="0" fontId="17" fillId="0" borderId="28" applyAlignment="1" pivotButton="0" quotePrefix="0" xfId="4">
      <alignment horizontal="left" vertical="center"/>
    </xf>
    <xf numFmtId="0" fontId="17" fillId="0" borderId="29" applyAlignment="1" pivotButton="0" quotePrefix="0" xfId="4">
      <alignment horizontal="left" vertical="center"/>
    </xf>
    <xf numFmtId="0" fontId="17" fillId="0" borderId="30" applyAlignment="1" pivotButton="0" quotePrefix="0" xfId="4">
      <alignment horizontal="left" vertical="center"/>
    </xf>
    <xf numFmtId="0" fontId="17" fillId="0" borderId="31" applyAlignment="1" pivotButton="0" quotePrefix="0" xfId="4">
      <alignment horizontal="left" vertical="center"/>
    </xf>
    <xf numFmtId="0" fontId="17" fillId="0" borderId="32" applyAlignment="1" pivotButton="0" quotePrefix="0" xfId="4">
      <alignment horizontal="left" vertical="center"/>
    </xf>
    <xf numFmtId="0" fontId="17" fillId="0" borderId="33" applyAlignment="1" pivotButton="0" quotePrefix="0" xfId="4">
      <alignment horizontal="left" vertical="center"/>
    </xf>
    <xf numFmtId="0" fontId="17" fillId="0" borderId="34" applyAlignment="1" pivotButton="0" quotePrefix="0" xfId="4">
      <alignment horizontal="left" vertical="center"/>
    </xf>
    <xf numFmtId="0" fontId="17" fillId="0" borderId="35" applyAlignment="1" pivotButton="0" quotePrefix="0" xfId="4">
      <alignment horizontal="left" vertical="center"/>
    </xf>
    <xf numFmtId="0" fontId="20" fillId="7" borderId="39" applyAlignment="1" pivotButton="0" quotePrefix="0" xfId="4">
      <alignment horizontal="left" vertical="center" wrapText="1"/>
    </xf>
    <xf numFmtId="0" fontId="37" fillId="0" borderId="0" pivotButton="0" quotePrefix="0" xfId="7"/>
    <xf numFmtId="0" fontId="37" fillId="0" borderId="0" applyAlignment="1" pivotButton="0" quotePrefix="0" xfId="7">
      <alignment wrapText="1"/>
    </xf>
    <xf numFmtId="0" fontId="37" fillId="18" borderId="1" pivotButton="0" quotePrefix="0" xfId="7"/>
    <xf numFmtId="0" fontId="37" fillId="0" borderId="1" pivotButton="0" quotePrefix="0" xfId="7"/>
    <xf numFmtId="0" fontId="37" fillId="0" borderId="1" applyAlignment="1" pivotButton="0" quotePrefix="0" xfId="7">
      <alignment wrapText="1"/>
    </xf>
    <xf numFmtId="2" fontId="37" fillId="0" borderId="1" pivotButton="0" quotePrefix="0" xfId="7"/>
    <xf numFmtId="0" fontId="37" fillId="0" borderId="1" applyAlignment="1" pivotButton="0" quotePrefix="0" xfId="7">
      <alignment horizontal="left" vertical="center"/>
    </xf>
    <xf numFmtId="0" fontId="38" fillId="0" borderId="1" applyAlignment="1" pivotButton="0" quotePrefix="0" xfId="8">
      <alignment wrapText="1"/>
    </xf>
    <xf numFmtId="0" fontId="37" fillId="0" borderId="1" applyAlignment="1" pivotButton="0" quotePrefix="0" xfId="7">
      <alignment horizontal="center"/>
    </xf>
    <xf numFmtId="171" fontId="0" fillId="0" borderId="1" applyAlignment="1" pivotButton="0" quotePrefix="0" xfId="9">
      <alignment horizontal="center"/>
    </xf>
    <xf numFmtId="172" fontId="37" fillId="0" borderId="1" applyAlignment="1" pivotButton="0" quotePrefix="0" xfId="7">
      <alignment horizontal="center"/>
    </xf>
    <xf numFmtId="173" fontId="37" fillId="0" borderId="1" pivotButton="0" quotePrefix="0" xfId="7"/>
    <xf numFmtId="0" fontId="24" fillId="0" borderId="14" applyAlignment="1" pivotButton="0" quotePrefix="0" xfId="0">
      <alignment horizontal="left" vertical="center"/>
    </xf>
    <xf numFmtId="0" fontId="9" fillId="8" borderId="4" applyAlignment="1" pivotButton="0" quotePrefix="0" xfId="4">
      <alignment horizontal="left" vertical="center" wrapText="1"/>
    </xf>
    <xf numFmtId="0" fontId="24" fillId="0" borderId="14" applyAlignment="1" pivotButton="0" quotePrefix="0" xfId="0">
      <alignment vertical="center"/>
    </xf>
    <xf numFmtId="0" fontId="24" fillId="0" borderId="15" applyAlignment="1" pivotButton="0" quotePrefix="0" xfId="0">
      <alignment horizontal="left" vertical="center"/>
    </xf>
    <xf numFmtId="0" fontId="24" fillId="0" borderId="16" applyAlignment="1" pivotButton="0" quotePrefix="0" xfId="0">
      <alignment horizontal="left" vertical="center"/>
    </xf>
    <xf numFmtId="0" fontId="10" fillId="0" borderId="14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0" fontId="10" fillId="0" borderId="17" applyAlignment="1" pivotButton="0" quotePrefix="0" xfId="0">
      <alignment horizontal="left" vertical="center"/>
    </xf>
    <xf numFmtId="0" fontId="24" fillId="0" borderId="14" applyAlignment="1" pivotButton="0" quotePrefix="0" xfId="0">
      <alignment horizontal="left" vertical="center" wrapText="1"/>
    </xf>
    <xf numFmtId="0" fontId="24" fillId="0" borderId="1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left" vertical="center" wrapText="1"/>
    </xf>
    <xf numFmtId="0" fontId="27" fillId="0" borderId="15" applyAlignment="1" pivotButton="0" quotePrefix="0" xfId="6">
      <alignment vertical="center"/>
    </xf>
    <xf numFmtId="0" fontId="27" fillId="0" borderId="15" applyAlignment="1" pivotButton="0" quotePrefix="0" xfId="6">
      <alignment horizontal="left" vertical="center"/>
    </xf>
    <xf numFmtId="3" fontId="24" fillId="0" borderId="16" applyAlignment="1" pivotButton="0" quotePrefix="0" xfId="0">
      <alignment horizontal="left" vertical="center"/>
    </xf>
    <xf numFmtId="174" fontId="37" fillId="0" borderId="1" pivotButton="0" quotePrefix="0" xfId="7"/>
    <xf numFmtId="0" fontId="37" fillId="19" borderId="1" applyAlignment="1" pivotButton="0" quotePrefix="0" xfId="0">
      <alignment horizontal="center" vertical="center"/>
    </xf>
    <xf numFmtId="0" fontId="39" fillId="20" borderId="1" pivotButton="0" quotePrefix="0" xfId="0"/>
    <xf numFmtId="0" fontId="9" fillId="10" borderId="1" applyAlignment="1" pivotButton="0" quotePrefix="0" xfId="0">
      <alignment horizontal="left" vertical="center" wrapText="1"/>
    </xf>
    <xf numFmtId="0" fontId="9" fillId="10" borderId="42" applyAlignment="1" pivotButton="0" quotePrefix="0" xfId="0">
      <alignment horizontal="left" vertical="center" wrapText="1"/>
    </xf>
    <xf numFmtId="0" fontId="37" fillId="19" borderId="42" applyAlignment="1" pivotButton="0" quotePrefix="0" xfId="0">
      <alignment horizontal="center" vertical="center"/>
    </xf>
    <xf numFmtId="0" fontId="0" fillId="0" borderId="42" pivotButton="0" quotePrefix="0" xfId="0"/>
    <xf numFmtId="0" fontId="39" fillId="20" borderId="42" pivotButton="0" quotePrefix="0" xfId="0"/>
    <xf numFmtId="0" fontId="6" fillId="3" borderId="34" applyAlignment="1" pivotButton="0" quotePrefix="0" xfId="3">
      <alignment horizontal="left" vertical="center" wrapText="1"/>
    </xf>
    <xf numFmtId="0" fontId="6" fillId="3" borderId="34" applyAlignment="1" pivotButton="0" quotePrefix="0" xfId="3">
      <alignment horizontal="left" vertical="center"/>
    </xf>
    <xf numFmtId="0" fontId="6" fillId="3" borderId="34" pivotButton="0" quotePrefix="0" xfId="3"/>
    <xf numFmtId="0" fontId="9" fillId="10" borderId="45" applyAlignment="1" pivotButton="0" quotePrefix="0" xfId="0">
      <alignment horizontal="left" vertical="center" wrapText="1"/>
    </xf>
    <xf numFmtId="0" fontId="0" fillId="0" borderId="46" pivotButton="0" quotePrefix="0" xfId="0"/>
    <xf numFmtId="0" fontId="6" fillId="3" borderId="35" pivotButton="0" quotePrefix="0" xfId="3"/>
    <xf numFmtId="0" fontId="6" fillId="3" borderId="47" applyAlignment="1" pivotButton="0" quotePrefix="0" xfId="3">
      <alignment horizontal="left" vertical="center"/>
    </xf>
    <xf numFmtId="0" fontId="24" fillId="0" borderId="1" applyAlignment="1" pivotButton="0" quotePrefix="0" xfId="0">
      <alignment vertical="center"/>
    </xf>
    <xf numFmtId="0" fontId="7" fillId="4" borderId="44" applyAlignment="1" pivotButton="0" quotePrefix="0" xfId="0">
      <alignment horizontal="center" vertical="center" wrapText="1"/>
    </xf>
    <xf numFmtId="0" fontId="7" fillId="4" borderId="48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0" fillId="0" borderId="49" applyAlignment="1" pivotButton="0" quotePrefix="0" xfId="0">
      <alignment horizontal="left" vertical="center" wrapText="1"/>
    </xf>
    <xf numFmtId="0" fontId="40" fillId="0" borderId="50" applyAlignment="1" pivotButton="0" quotePrefix="0" xfId="0">
      <alignment horizontal="center" vertical="center" wrapText="1"/>
    </xf>
    <xf numFmtId="0" fontId="41" fillId="0" borderId="50" applyAlignment="1" pivotButton="0" quotePrefix="0" xfId="0">
      <alignment horizontal="center" vertical="center" wrapText="1"/>
    </xf>
    <xf numFmtId="0" fontId="24" fillId="0" borderId="0" applyAlignment="1" pivotButton="0" quotePrefix="0" xfId="0">
      <alignment wrapText="1"/>
    </xf>
    <xf numFmtId="175" fontId="5" fillId="2" borderId="18" applyAlignment="1" pivotButton="0" quotePrefix="0" xfId="2">
      <alignment wrapText="1"/>
    </xf>
    <xf numFmtId="0" fontId="46" fillId="0" borderId="1" applyAlignment="1" pivotButton="0" quotePrefix="0" xfId="0">
      <alignment horizontal="center" vertical="center"/>
    </xf>
    <xf numFmtId="0" fontId="48" fillId="0" borderId="1" applyAlignment="1" pivotButton="0" quotePrefix="0" xfId="0">
      <alignment horizontal="center" vertical="center"/>
    </xf>
    <xf numFmtId="2" fontId="0" fillId="0" borderId="0" pivotButton="0" quotePrefix="0" xfId="10"/>
    <xf numFmtId="2" fontId="0" fillId="0" borderId="0" pivotButton="0" quotePrefix="0" xfId="0"/>
    <xf numFmtId="0" fontId="50" fillId="0" borderId="0" pivotButton="0" quotePrefix="0" xfId="0"/>
    <xf numFmtId="0" fontId="51" fillId="23" borderId="0" applyAlignment="1" pivotButton="0" quotePrefix="0" xfId="0">
      <alignment horizontal="center" vertical="center"/>
    </xf>
    <xf numFmtId="0" fontId="52" fillId="22" borderId="52" applyAlignment="1" pivotButton="0" quotePrefix="0" xfId="11">
      <alignment horizontal="center" vertical="center"/>
    </xf>
    <xf numFmtId="0" fontId="53" fillId="22" borderId="54" applyAlignment="1" pivotButton="0" quotePrefix="0" xfId="11">
      <alignment horizontal="center" vertical="center"/>
    </xf>
    <xf numFmtId="0" fontId="54" fillId="0" borderId="0" applyAlignment="1" pivotButton="0" quotePrefix="0" xfId="0">
      <alignment horizontal="left" vertical="center"/>
    </xf>
    <xf numFmtId="10" fontId="0" fillId="0" borderId="1" pivotButton="0" quotePrefix="0" xfId="0"/>
    <xf numFmtId="170" fontId="0" fillId="0" borderId="1" pivotButton="0" quotePrefix="0" xfId="0"/>
    <xf numFmtId="175" fontId="0" fillId="0" borderId="1" pivotButton="0" quotePrefix="0" xfId="0"/>
    <xf numFmtId="0" fontId="24" fillId="0" borderId="50" applyAlignment="1" pivotButton="0" quotePrefix="0" xfId="0">
      <alignment horizontal="center" vertical="center" wrapText="1"/>
    </xf>
    <xf numFmtId="175" fontId="40" fillId="0" borderId="50" applyAlignment="1" applyProtection="1" pivotButton="0" quotePrefix="0" xfId="0">
      <alignment horizontal="center" vertical="center" wrapText="1"/>
      <protection locked="0" hidden="0"/>
    </xf>
    <xf numFmtId="3" fontId="40" fillId="0" borderId="50" applyAlignment="1" applyProtection="1" pivotButton="0" quotePrefix="0" xfId="0">
      <alignment horizontal="center" vertical="center" wrapText="1"/>
      <protection locked="0" hidden="0"/>
    </xf>
    <xf numFmtId="10" fontId="40" fillId="0" borderId="50" applyAlignment="1" pivotButton="0" quotePrefix="0" xfId="0">
      <alignment horizontal="center" vertical="center"/>
    </xf>
    <xf numFmtId="0" fontId="40" fillId="0" borderId="50" applyAlignment="1" pivotButton="0" quotePrefix="0" xfId="0">
      <alignment horizontal="center" vertical="center"/>
    </xf>
    <xf numFmtId="175" fontId="40" fillId="0" borderId="51" applyAlignment="1" applyProtection="1" pivotButton="0" quotePrefix="0" xfId="0">
      <alignment horizontal="center" vertical="center" wrapText="1"/>
      <protection locked="0" hidden="0"/>
    </xf>
    <xf numFmtId="0" fontId="24" fillId="24" borderId="1" applyAlignment="1" pivotButton="0" quotePrefix="0" xfId="0">
      <alignment horizontal="center" vertical="center"/>
    </xf>
    <xf numFmtId="0" fontId="55" fillId="0" borderId="0" pivotButton="0" quotePrefix="0" xfId="0"/>
    <xf numFmtId="175" fontId="42" fillId="0" borderId="50" applyAlignment="1" pivotButton="0" quotePrefix="0" xfId="10">
      <alignment horizontal="center" vertical="center"/>
    </xf>
    <xf numFmtId="176" fontId="40" fillId="0" borderId="50" applyAlignment="1" applyProtection="1" pivotButton="0" quotePrefix="0" xfId="0">
      <alignment horizontal="center" vertical="center" wrapText="1"/>
      <protection locked="0" hidden="0"/>
    </xf>
    <xf numFmtId="3" fontId="40" fillId="0" borderId="50" applyAlignment="1" applyProtection="1" pivotButton="0" quotePrefix="0" xfId="0">
      <alignment horizontal="right" vertical="center" wrapText="1"/>
      <protection locked="0" hidden="0"/>
    </xf>
    <xf numFmtId="10" fontId="40" fillId="0" borderId="50" applyAlignment="1" pivotButton="0" quotePrefix="0" xfId="0">
      <alignment horizontal="center" vertical="center" wrapText="1"/>
    </xf>
    <xf numFmtId="175" fontId="40" fillId="0" borderId="50" applyAlignment="1" applyProtection="1" pivotButton="0" quotePrefix="0" xfId="0">
      <alignment wrapText="1"/>
      <protection locked="0" hidden="0"/>
    </xf>
    <xf numFmtId="0" fontId="56" fillId="18" borderId="0" applyAlignment="1" pivotButton="0" quotePrefix="0" xfId="3">
      <alignment vertical="center"/>
    </xf>
    <xf numFmtId="0" fontId="39" fillId="18" borderId="0" pivotButton="0" quotePrefix="0" xfId="3"/>
    <xf numFmtId="0" fontId="39" fillId="18" borderId="0" pivotButton="0" quotePrefix="0" xfId="0"/>
    <xf numFmtId="10" fontId="39" fillId="18" borderId="0" pivotButton="0" quotePrefix="0" xfId="0"/>
    <xf numFmtId="170" fontId="39" fillId="18" borderId="0" pivotButton="0" quotePrefix="0" xfId="0"/>
    <xf numFmtId="175" fontId="39" fillId="18" borderId="0" pivotButton="0" quotePrefix="0" xfId="0"/>
    <xf numFmtId="0" fontId="57" fillId="18" borderId="59" applyAlignment="1" pivotButton="0" quotePrefix="0" xfId="0">
      <alignment horizontal="center" vertical="center" wrapText="1"/>
    </xf>
    <xf numFmtId="0" fontId="57" fillId="18" borderId="53" applyAlignment="1" pivotButton="0" quotePrefix="0" xfId="0">
      <alignment horizontal="center" vertical="center" wrapText="1"/>
    </xf>
    <xf numFmtId="177" fontId="43" fillId="0" borderId="50" applyAlignment="1" applyProtection="1" pivotButton="0" quotePrefix="0" xfId="0">
      <alignment horizontal="center" vertical="center" wrapText="1"/>
      <protection locked="0" hidden="0"/>
    </xf>
    <xf numFmtId="0" fontId="47" fillId="0" borderId="1" applyAlignment="1" pivotButton="0" quotePrefix="0" xfId="4">
      <alignment horizontal="center" vertical="center"/>
    </xf>
    <xf numFmtId="177" fontId="40" fillId="0" borderId="50" applyAlignment="1" pivotButton="0" quotePrefix="0" xfId="0">
      <alignment horizontal="center" vertical="center" wrapText="1"/>
    </xf>
    <xf numFmtId="175" fontId="40" fillId="0" borderId="51" applyAlignment="1" applyProtection="1" pivotButton="0" quotePrefix="0" xfId="0">
      <alignment wrapText="1"/>
      <protection locked="0" hidden="0"/>
    </xf>
    <xf numFmtId="0" fontId="24" fillId="21" borderId="0" applyAlignment="1" pivotButton="0" quotePrefix="0" xfId="0">
      <alignment wrapText="1"/>
    </xf>
    <xf numFmtId="0" fontId="44" fillId="7" borderId="2" applyAlignment="1" pivotButton="0" quotePrefix="0" xfId="0">
      <alignment horizontal="center" vertical="center"/>
    </xf>
    <xf numFmtId="0" fontId="45" fillId="7" borderId="2" applyAlignment="1" pivotButton="0" quotePrefix="0" xfId="0">
      <alignment horizontal="center" vertical="center"/>
    </xf>
    <xf numFmtId="0" fontId="44" fillId="7" borderId="3" applyAlignment="1" pivotButton="0" quotePrefix="0" xfId="0">
      <alignment horizontal="center" vertical="center"/>
    </xf>
    <xf numFmtId="0" fontId="55" fillId="0" borderId="1" applyAlignment="1" pivotButton="0" quotePrefix="0" xfId="0">
      <alignment horizontal="center" vertical="center"/>
    </xf>
    <xf numFmtId="0" fontId="44" fillId="7" borderId="1" applyAlignment="1" pivotButton="0" quotePrefix="0" xfId="0">
      <alignment horizontal="center" vertical="center"/>
    </xf>
    <xf numFmtId="0" fontId="58" fillId="0" borderId="0" pivotButton="0" quotePrefix="0" xfId="0"/>
    <xf numFmtId="0" fontId="0" fillId="0" borderId="0" applyAlignment="1" pivotButton="0" quotePrefix="0" xfId="0">
      <alignment wrapText="1"/>
    </xf>
    <xf numFmtId="14" fontId="40" fillId="0" borderId="50" applyAlignment="1" pivotButton="0" quotePrefix="0" xfId="0">
      <alignment horizontal="center" vertical="center" wrapText="1"/>
    </xf>
    <xf numFmtId="0" fontId="2" fillId="0" borderId="0" pivotButton="0" quotePrefix="0" xfId="0"/>
    <xf numFmtId="0" fontId="58" fillId="0" borderId="0" applyAlignment="1" pivotButton="0" quotePrefix="0" xfId="0">
      <alignment wrapText="1"/>
    </xf>
    <xf numFmtId="0" fontId="24" fillId="25" borderId="0" applyAlignment="1" pivotButton="0" quotePrefix="0" xfId="0">
      <alignment wrapText="1"/>
    </xf>
    <xf numFmtId="0" fontId="27" fillId="7" borderId="2" applyAlignment="1" pivotButton="0" quotePrefix="0" xfId="6">
      <alignment horizontal="center" vertical="center"/>
    </xf>
    <xf numFmtId="0" fontId="45" fillId="7" borderId="3" applyAlignment="1" pivotButton="0" quotePrefix="0" xfId="0">
      <alignment horizontal="center" vertical="center"/>
    </xf>
    <xf numFmtId="0" fontId="46" fillId="0" borderId="2" applyAlignment="1" pivotButton="0" quotePrefix="0" xfId="0">
      <alignment horizontal="center" vertical="center"/>
    </xf>
    <xf numFmtId="0" fontId="46" fillId="0" borderId="3" applyAlignment="1" pivotButton="0" quotePrefix="0" xfId="0">
      <alignment horizontal="center" vertical="center"/>
    </xf>
    <xf numFmtId="0" fontId="20" fillId="0" borderId="23" applyAlignment="1" pivotButton="0" quotePrefix="0" xfId="4">
      <alignment horizontal="left" vertical="center" wrapText="1"/>
    </xf>
    <xf numFmtId="0" fontId="19" fillId="0" borderId="7" pivotButton="0" quotePrefix="0" xfId="4"/>
    <xf numFmtId="0" fontId="20" fillId="0" borderId="4" applyAlignment="1" pivotButton="0" quotePrefix="0" xfId="4">
      <alignment horizontal="left" vertical="center"/>
    </xf>
    <xf numFmtId="0" fontId="19" fillId="0" borderId="6" pivotButton="0" quotePrefix="0" xfId="4"/>
    <xf numFmtId="0" fontId="19" fillId="0" borderId="22" pivotButton="0" quotePrefix="0" xfId="4"/>
    <xf numFmtId="3" fontId="10" fillId="0" borderId="4" applyAlignment="1" pivotButton="0" quotePrefix="0" xfId="4">
      <alignment horizontal="left" vertical="center" wrapText="1"/>
    </xf>
    <xf numFmtId="3" fontId="21" fillId="0" borderId="6" applyAlignment="1" pivotButton="0" quotePrefix="0" xfId="4">
      <alignment horizontal="left" vertical="center" wrapText="1"/>
    </xf>
    <xf numFmtId="3" fontId="21" fillId="0" borderId="22" applyAlignment="1" pivotButton="0" quotePrefix="0" xfId="4">
      <alignment horizontal="left" vertical="center" wrapText="1"/>
    </xf>
    <xf numFmtId="0" fontId="18" fillId="6" borderId="23" applyAlignment="1" pivotButton="0" quotePrefix="0" xfId="4">
      <alignment horizontal="left" vertical="center"/>
    </xf>
    <xf numFmtId="0" fontId="21" fillId="0" borderId="23" applyAlignment="1" pivotButton="0" quotePrefix="0" xfId="4">
      <alignment horizontal="left" vertical="center" wrapText="1"/>
    </xf>
    <xf numFmtId="0" fontId="21" fillId="0" borderId="26" applyAlignment="1" pivotButton="0" quotePrefix="0" xfId="4">
      <alignment horizontal="left" vertical="center" wrapText="1"/>
    </xf>
    <xf numFmtId="0" fontId="19" fillId="0" borderId="9" pivotButton="0" quotePrefix="0" xfId="4"/>
    <xf numFmtId="0" fontId="19" fillId="0" borderId="27" pivotButton="0" quotePrefix="0" xfId="4"/>
    <xf numFmtId="0" fontId="19" fillId="0" borderId="8" pivotButton="0" quotePrefix="0" xfId="4"/>
    <xf numFmtId="0" fontId="21" fillId="0" borderId="4" applyAlignment="1" pivotButton="0" quotePrefix="0" xfId="4">
      <alignment horizontal="left" vertical="center"/>
    </xf>
    <xf numFmtId="0" fontId="21" fillId="0" borderId="4" applyAlignment="1" pivotButton="0" quotePrefix="0" xfId="4">
      <alignment horizontal="left" vertical="center" wrapText="1"/>
    </xf>
    <xf numFmtId="0" fontId="18" fillId="6" borderId="23" applyAlignment="1" pivotButton="0" quotePrefix="0" xfId="4">
      <alignment horizontal="left" vertical="center" wrapText="1"/>
    </xf>
    <xf numFmtId="0" fontId="9" fillId="0" borderId="4" applyAlignment="1" pivotButton="0" quotePrefix="0" xfId="4">
      <alignment horizontal="left" vertical="center"/>
    </xf>
    <xf numFmtId="178" fontId="21" fillId="0" borderId="4" applyAlignment="1" pivotButton="0" quotePrefix="0" xfId="4">
      <alignment horizontal="left" vertical="center" wrapText="1"/>
    </xf>
    <xf numFmtId="9" fontId="23" fillId="0" borderId="4" applyAlignment="1" pivotButton="0" quotePrefix="0" xfId="4">
      <alignment horizontal="left" vertical="center" wrapText="1"/>
    </xf>
    <xf numFmtId="3" fontId="21" fillId="0" borderId="4" applyAlignment="1" pivotButton="0" quotePrefix="0" xfId="4">
      <alignment horizontal="left" vertical="center" wrapText="1"/>
    </xf>
    <xf numFmtId="179" fontId="21" fillId="0" borderId="4" applyAlignment="1" pivotButton="0" quotePrefix="0" xfId="4">
      <alignment horizontal="left" vertical="center" wrapText="1"/>
    </xf>
    <xf numFmtId="166" fontId="21" fillId="0" borderId="4" applyAlignment="1" pivotButton="0" quotePrefix="0" xfId="1">
      <alignment horizontal="left" vertical="center" wrapText="1"/>
    </xf>
    <xf numFmtId="166" fontId="19" fillId="0" borderId="6" pivotButton="0" quotePrefix="0" xfId="1"/>
    <xf numFmtId="166" fontId="19" fillId="0" borderId="22" pivotButton="0" quotePrefix="0" xfId="1"/>
    <xf numFmtId="0" fontId="22" fillId="6" borderId="23" applyAlignment="1" pivotButton="0" quotePrefix="0" xfId="4">
      <alignment horizontal="left" vertical="center" wrapText="1"/>
    </xf>
    <xf numFmtId="164" fontId="21" fillId="0" borderId="4" applyAlignment="1" pivotButton="0" quotePrefix="0" xfId="4">
      <alignment horizontal="left" vertical="center"/>
    </xf>
    <xf numFmtId="0" fontId="10" fillId="0" borderId="4" applyAlignment="1" pivotButton="0" quotePrefix="0" xfId="4">
      <alignment horizontal="left" vertical="center"/>
    </xf>
    <xf numFmtId="0" fontId="10" fillId="0" borderId="4" applyAlignment="1" pivotButton="0" quotePrefix="0" xfId="4">
      <alignment horizontal="left" vertical="center" wrapText="1"/>
    </xf>
    <xf numFmtId="0" fontId="18" fillId="6" borderId="20" applyAlignment="1" pivotButton="0" quotePrefix="0" xfId="4">
      <alignment horizontal="left" vertical="center" wrapText="1"/>
    </xf>
    <xf numFmtId="0" fontId="19" fillId="0" borderId="36" pivotButton="0" quotePrefix="0" xfId="4"/>
    <xf numFmtId="0" fontId="18" fillId="6" borderId="37" applyAlignment="1" pivotButton="0" quotePrefix="0" xfId="4">
      <alignment horizontal="left" vertical="center"/>
    </xf>
    <xf numFmtId="0" fontId="19" fillId="0" borderId="38" pivotButton="0" quotePrefix="0" xfId="4"/>
    <xf numFmtId="0" fontId="21" fillId="0" borderId="6" applyAlignment="1" pivotButton="0" quotePrefix="0" xfId="4">
      <alignment horizontal="left" vertical="center"/>
    </xf>
    <xf numFmtId="0" fontId="21" fillId="0" borderId="22" applyAlignment="1" pivotButton="0" quotePrefix="0" xfId="4">
      <alignment horizontal="left" vertical="center"/>
    </xf>
    <xf numFmtId="0" fontId="53" fillId="22" borderId="55" applyAlignment="1" pivotButton="0" quotePrefix="0" xfId="11">
      <alignment horizontal="center" vertical="center"/>
    </xf>
    <xf numFmtId="0" fontId="53" fillId="22" borderId="58" applyAlignment="1" pivotButton="0" quotePrefix="0" xfId="11">
      <alignment vertical="center"/>
    </xf>
    <xf numFmtId="0" fontId="57" fillId="18" borderId="31" applyAlignment="1" pivotButton="0" quotePrefix="0" xfId="0">
      <alignment horizontal="center" vertical="center"/>
    </xf>
    <xf numFmtId="0" fontId="57" fillId="18" borderId="34" applyAlignment="1" pivotButton="0" quotePrefix="0" xfId="0">
      <alignment horizontal="center" vertical="center"/>
    </xf>
    <xf numFmtId="0" fontId="14" fillId="5" borderId="0" applyAlignment="1" pivotButton="0" quotePrefix="0" xfId="4">
      <alignment horizontal="center"/>
    </xf>
    <xf numFmtId="0" fontId="15" fillId="0" borderId="0" pivotButton="0" quotePrefix="0" xfId="4"/>
    <xf numFmtId="0" fontId="32" fillId="13" borderId="0" applyAlignment="1" pivotButton="0" quotePrefix="0" xfId="0">
      <alignment horizontal="center" vertical="center"/>
    </xf>
    <xf numFmtId="0" fontId="0" fillId="0" borderId="0" pivotButton="0" quotePrefix="0" xfId="0"/>
    <xf numFmtId="0" fontId="27" fillId="13" borderId="0" applyAlignment="1" pivotButton="0" quotePrefix="0" xfId="6">
      <alignment horizontal="center"/>
    </xf>
    <xf numFmtId="0" fontId="28" fillId="13" borderId="0" applyAlignment="1" pivotButton="0" quotePrefix="0" xfId="0">
      <alignment horizontal="center"/>
    </xf>
    <xf numFmtId="0" fontId="31" fillId="15" borderId="0" applyAlignment="1" pivotButton="0" quotePrefix="0" xfId="0">
      <alignment horizontal="center" vertical="center" wrapText="1"/>
    </xf>
    <xf numFmtId="0" fontId="28" fillId="13" borderId="0" pivotButton="0" quotePrefix="0" xfId="0"/>
    <xf numFmtId="0" fontId="28" fillId="0" borderId="0" pivotButton="0" quotePrefix="0" xfId="0"/>
    <xf numFmtId="0" fontId="30" fillId="12" borderId="0" pivotButton="0" quotePrefix="0" xfId="0"/>
    <xf numFmtId="0" fontId="28" fillId="11" borderId="0" pivotButton="0" quotePrefix="0" xfId="0"/>
    <xf numFmtId="0" fontId="31" fillId="11" borderId="0" applyAlignment="1" pivotButton="0" quotePrefix="0" xfId="0">
      <alignment horizontal="center" vertical="center"/>
    </xf>
    <xf numFmtId="0" fontId="32" fillId="14" borderId="0" pivotButton="0" quotePrefix="0" xfId="0"/>
    <xf numFmtId="0" fontId="32" fillId="13" borderId="0" applyAlignment="1" pivotButton="0" quotePrefix="0" xfId="0">
      <alignment horizontal="center"/>
    </xf>
    <xf numFmtId="0" fontId="28" fillId="16" borderId="0" applyAlignment="1" pivotButton="0" quotePrefix="0" xfId="0">
      <alignment horizontal="center"/>
    </xf>
    <xf numFmtId="0" fontId="28" fillId="17" borderId="0" pivotButton="0" quotePrefix="0" xfId="0"/>
    <xf numFmtId="0" fontId="34" fillId="0" borderId="1" applyAlignment="1" pivotButton="0" quotePrefix="0" xfId="0">
      <alignment horizontal="left" vertical="top" wrapText="1"/>
    </xf>
    <xf numFmtId="0" fontId="27" fillId="0" borderId="1" applyAlignment="1" pivotButton="0" quotePrefix="0" xfId="6">
      <alignment horizontal="left" vertical="top" wrapText="1"/>
    </xf>
    <xf numFmtId="0" fontId="24" fillId="0" borderId="40" applyAlignment="1" pivotButton="0" quotePrefix="0" xfId="0">
      <alignment horizontal="left" vertical="center"/>
    </xf>
    <xf numFmtId="0" fontId="24" fillId="0" borderId="15" applyAlignment="1" pivotButton="0" quotePrefix="0" xfId="0">
      <alignment horizontal="left" vertical="center"/>
    </xf>
    <xf numFmtId="0" fontId="24" fillId="0" borderId="56" applyAlignment="1" pivotButton="0" quotePrefix="0" xfId="0">
      <alignment horizontal="left" vertical="center"/>
    </xf>
    <xf numFmtId="0" fontId="24" fillId="0" borderId="57" applyAlignment="1" pivotButton="0" quotePrefix="0" xfId="0">
      <alignment horizontal="left" vertical="center"/>
    </xf>
    <xf numFmtId="0" fontId="24" fillId="0" borderId="14" applyAlignment="1" pivotButton="0" quotePrefix="0" xfId="0">
      <alignment horizontal="left" vertical="center"/>
    </xf>
    <xf numFmtId="0" fontId="24" fillId="0" borderId="16" applyAlignment="1" pivotButton="0" quotePrefix="0" xfId="0">
      <alignment horizontal="left" vertical="center"/>
    </xf>
    <xf numFmtId="0" fontId="10" fillId="0" borderId="14" applyAlignment="1" pivotButton="0" quotePrefix="0" xfId="0">
      <alignment horizontal="left" vertical="center"/>
    </xf>
    <xf numFmtId="0" fontId="10" fillId="0" borderId="15" applyAlignment="1" pivotButton="0" quotePrefix="0" xfId="0">
      <alignment horizontal="left" vertical="center"/>
    </xf>
    <xf numFmtId="0" fontId="10" fillId="0" borderId="17" applyAlignment="1" pivotButton="0" quotePrefix="0" xfId="0">
      <alignment horizontal="left" vertical="center"/>
    </xf>
    <xf numFmtId="0" fontId="24" fillId="0" borderId="14" applyAlignment="1" pivotButton="0" quotePrefix="0" xfId="0">
      <alignment horizontal="left" vertical="center" wrapText="1"/>
    </xf>
    <xf numFmtId="0" fontId="24" fillId="0" borderId="1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left" vertical="center" wrapText="1"/>
    </xf>
    <xf numFmtId="0" fontId="24" fillId="0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/>
    </xf>
    <xf numFmtId="0" fontId="24" fillId="0" borderId="1" applyAlignment="1" pivotButton="0" quotePrefix="0" xfId="0">
      <alignment horizontal="left" vertical="center" wrapText="1"/>
    </xf>
    <xf numFmtId="0" fontId="0" fillId="0" borderId="20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41" applyAlignment="1" pivotButton="0" quotePrefix="0" xfId="0">
      <alignment horizontal="center" vertical="center"/>
    </xf>
    <xf numFmtId="0" fontId="0" fillId="0" borderId="43" applyAlignment="1" pivotButton="0" quotePrefix="0" xfId="0">
      <alignment horizontal="center" vertical="center"/>
    </xf>
    <xf numFmtId="0" fontId="0" fillId="0" borderId="44" applyAlignment="1" pivotButton="0" quotePrefix="0" xfId="0">
      <alignment horizontal="center" vertical="center"/>
    </xf>
    <xf numFmtId="0" fontId="10" fillId="0" borderId="1" applyAlignment="1" pivotButton="0" quotePrefix="0" xfId="4">
      <alignment horizontal="left" vertical="center"/>
    </xf>
    <xf numFmtId="0" fontId="19" fillId="0" borderId="1" pivotButton="0" quotePrefix="0" xfId="4"/>
    <xf numFmtId="0" fontId="1" fillId="0" borderId="0" pivotButton="0" quotePrefix="0" xfId="0"/>
    <xf numFmtId="174" fontId="37" fillId="0" borderId="1" pivotButton="0" quotePrefix="0" xfId="7"/>
    <xf numFmtId="171" fontId="0" fillId="0" borderId="1" applyAlignment="1" pivotButton="0" quotePrefix="0" xfId="9">
      <alignment horizontal="center"/>
    </xf>
    <xf numFmtId="172" fontId="37" fillId="0" borderId="1" applyAlignment="1" pivotButton="0" quotePrefix="0" xfId="7">
      <alignment horizontal="center"/>
    </xf>
    <xf numFmtId="173" fontId="37" fillId="0" borderId="1" pivotButton="0" quotePrefix="0" xfId="7"/>
  </cellXfs>
  <cellStyles count="13">
    <cellStyle name="Normal" xfId="0" builtinId="0"/>
    <cellStyle name="Comma" xfId="1" builtinId="3"/>
    <cellStyle name="Good" xfId="2" builtinId="26"/>
    <cellStyle name="Neutral" xfId="3" builtinId="28"/>
    <cellStyle name="Normal 2" xfId="4"/>
    <cellStyle name="Hyperlink 2" xfId="5"/>
    <cellStyle name="Hyperlink" xfId="6" builtinId="8"/>
    <cellStyle name="Normal 3" xfId="7"/>
    <cellStyle name="Hyperlink 3" xfId="8"/>
    <cellStyle name="Comma 2" xfId="9"/>
    <cellStyle name="Currency" xfId="10" builtinId="4"/>
    <cellStyle name="Input" xfId="11" builtinId="20"/>
    <cellStyle name="Normal 4" xfId="12"/>
  </cellStyles>
  <dxfs count="14">
    <dxf>
      <font>
        <b val="1"/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numFmt numFmtId="2" formatCode="0.00"/>
    </dxf>
    <dxf/>
    <dxf>
      <numFmt numFmtId="165" formatCode="_-* #,##0.00\ &quot;zł&quot;_-;\-* #,##0.00\ &quot;zł&quot;_-;_-* &quot;-&quot;??\ &quot;zł&quot;_-;_-@_-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border outline="0">
        <top style="medium">
          <color indexed="64"/>
        </top>
        <bottom style="thin">
          <color indexed="64"/>
        </bottom>
      </border>
    </dxf>
    <dxf>
      <border outline="0">
        <bottom style="medium">
          <color indexed="64"/>
        </bottom>
      </border>
    </dxf>
    <dxf>
      <font>
        <name val="Calibri"/>
        <family val="2"/>
        <b val="1"/>
        <strike val="0"/>
        <outline val="0"/>
        <shadow val="0"/>
        <condense val="0"/>
        <color rgb="FFFFFFFF"/>
        <extend val="0"/>
        <sz val="12"/>
        <vertAlign val="baseline"/>
      </font>
      <fill>
        <patternFill patternType="solid">
          <fgColor rgb="FF000000"/>
          <bgColor rgb="FFA5A5A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ab.com/wp-content/uploads/2015/06/IAB_4As-tsandcs-FINAL.pdf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I16" sqref="I16"/>
    </sheetView>
  </sheetViews>
  <sheetFormatPr baseColWidth="8" defaultColWidth="9.1328125" defaultRowHeight="14.25"/>
  <cols>
    <col width="25.1328125" customWidth="1" style="99" min="1" max="1"/>
    <col width="27.1328125" customWidth="1" style="99" min="2" max="2"/>
    <col width="19.1328125" customWidth="1" style="99" min="3" max="3"/>
    <col width="28" customWidth="1" style="99" min="4" max="4"/>
    <col width="26.86328125" customWidth="1" style="99" min="5" max="5"/>
    <col width="9.1328125" customWidth="1" style="99" min="6" max="16384"/>
  </cols>
  <sheetData>
    <row r="1">
      <c r="A1" s="99" t="inlineStr">
        <is>
          <t>INSERTION ORDER</t>
        </is>
      </c>
      <c r="D1" s="100" t="n"/>
    </row>
    <row r="2">
      <c r="D2" s="100" t="n"/>
    </row>
    <row r="3">
      <c r="A3" s="101" t="inlineStr">
        <is>
          <t>Publisher</t>
        </is>
      </c>
      <c r="B3" s="102" t="inlineStr">
        <is>
          <t>Sonic Odeeo LTD</t>
        </is>
      </c>
      <c r="C3" s="101" t="inlineStr">
        <is>
          <t>Company</t>
        </is>
      </c>
      <c r="D3" s="103">
        <f>IF(Kampania!H3="Sp. k.",Podmioty!C20,IF(Kampania!H3="Sp. z o.o.", Podmioty!C21))</f>
        <v/>
      </c>
    </row>
    <row r="4" ht="28.5" customHeight="1" s="245">
      <c r="A4" s="101" t="inlineStr">
        <is>
          <t>Registed Office</t>
        </is>
      </c>
      <c r="B4" s="102" t="inlineStr">
        <is>
          <t>Hahoshlim St 5, Hertsliya, Israel</t>
        </is>
      </c>
      <c r="C4" s="101" t="inlineStr">
        <is>
          <t>Registed Office</t>
        </is>
      </c>
      <c r="D4" s="103">
        <f>Podmioty!C22</f>
        <v/>
      </c>
    </row>
    <row r="5">
      <c r="A5" s="101" t="inlineStr">
        <is>
          <t>Phone Number</t>
        </is>
      </c>
      <c r="B5" s="104" t="inlineStr">
        <is>
          <t>972547806405</t>
        </is>
      </c>
      <c r="C5" s="101" t="inlineStr">
        <is>
          <t>Phone Number</t>
        </is>
      </c>
      <c r="D5" s="285">
        <f>VLOOKUP($D$7,Podmioty!$A$25:$C$27,3,FALSE)</f>
        <v/>
      </c>
    </row>
    <row r="6">
      <c r="A6" s="101" t="inlineStr">
        <is>
          <t>Email</t>
        </is>
      </c>
      <c r="B6" s="102" t="inlineStr">
        <is>
          <t>elad.g@odeeo.io</t>
        </is>
      </c>
      <c r="C6" s="101" t="inlineStr">
        <is>
          <t>Email</t>
        </is>
      </c>
      <c r="D6" s="102">
        <f>VLOOKUP($D$7,Podmioty!$A$25:$C$27,2,FALSE)</f>
        <v/>
      </c>
    </row>
    <row r="7">
      <c r="A7" s="101" t="inlineStr">
        <is>
          <t>Contact Name</t>
        </is>
      </c>
      <c r="B7" s="102" t="inlineStr">
        <is>
          <t>Elad Golan</t>
        </is>
      </c>
      <c r="C7" s="101" t="inlineStr">
        <is>
          <t>Contact Name</t>
        </is>
      </c>
      <c r="D7" s="102">
        <f>Kampania!A1</f>
        <v/>
      </c>
    </row>
    <row r="10" ht="48.75" customHeight="1" s="245">
      <c r="A10" s="105" t="inlineStr">
        <is>
          <t>IAB Standard Terms</t>
        </is>
      </c>
      <c r="B10" s="106" t="inlineStr">
        <is>
          <t>https://www.iab.com/wp-content/uploads/2015/06/IAB_4As-tsandcs-FINAL.pdf</t>
        </is>
      </c>
    </row>
    <row r="11" ht="56.25" customHeight="1" s="245">
      <c r="A11" s="105" t="inlineStr">
        <is>
          <t>Payment Terms</t>
        </is>
      </c>
      <c r="B11" s="103" t="inlineStr">
        <is>
          <t>The campaign's approved budget shall be paid no later than 30 days from month end, and All payments under this Agreement are in EUR.</t>
        </is>
      </c>
    </row>
    <row r="13">
      <c r="A13" s="101" t="inlineStr">
        <is>
          <t>Campaign</t>
        </is>
      </c>
      <c r="B13" s="101" t="inlineStr">
        <is>
          <t>Dates</t>
        </is>
      </c>
      <c r="C13" s="101" t="inlineStr">
        <is>
          <t>Total Impressions</t>
        </is>
      </c>
      <c r="D13" s="101" t="inlineStr">
        <is>
          <t>CPM</t>
        </is>
      </c>
      <c r="E13" s="101" t="inlineStr">
        <is>
          <t>Total Net Cost</t>
        </is>
      </c>
    </row>
    <row r="14" ht="30.6" customHeight="1" s="245">
      <c r="A14" s="103">
        <f>Zlecenie!C16 &amp; "_" &amp; Zlecenie!E2</f>
        <v/>
      </c>
      <c r="B14" s="107">
        <f>TEXT(Kampania!N3,"DD/MM/RRRR") &amp; " - " &amp; TEXT(Kampania!O3,"DD/MM/RRRR")</f>
        <v/>
      </c>
      <c r="C14" s="286">
        <f>Zlecenie!C20</f>
        <v/>
      </c>
      <c r="D14" s="287">
        <f>IF(Zlecenie!C19="In-game audio KIDS",2,IF(Zlecenie!C19="In-game audio ADULTS",2))</f>
        <v/>
      </c>
      <c r="E14" s="287">
        <f>D14*C14/1000</f>
        <v/>
      </c>
    </row>
    <row r="16">
      <c r="A16" s="102" t="inlineStr">
        <is>
          <t>Publisher</t>
        </is>
      </c>
      <c r="B16" s="102" t="inlineStr">
        <is>
          <t>Sonic Odeeo LTD.</t>
        </is>
      </c>
      <c r="D16" s="102" t="inlineStr">
        <is>
          <t>Company</t>
        </is>
      </c>
      <c r="E16" s="103">
        <f>D3</f>
        <v/>
      </c>
    </row>
    <row r="17">
      <c r="A17" s="102" t="inlineStr">
        <is>
          <t>Name</t>
        </is>
      </c>
      <c r="B17" s="102" t="inlineStr">
        <is>
          <t>Amit Monheit</t>
        </is>
      </c>
      <c r="D17" s="102" t="inlineStr">
        <is>
          <t>Name</t>
        </is>
      </c>
      <c r="E17" s="102">
        <f>Kampania!A1</f>
        <v/>
      </c>
    </row>
    <row r="18">
      <c r="A18" s="102" t="inlineStr">
        <is>
          <t>Position</t>
        </is>
      </c>
      <c r="B18" s="102" t="inlineStr">
        <is>
          <t>CEO</t>
        </is>
      </c>
      <c r="D18" s="102" t="inlineStr">
        <is>
          <t>Position</t>
        </is>
      </c>
      <c r="E18" s="102" t="inlineStr">
        <is>
          <t>Senior Account Manager</t>
        </is>
      </c>
    </row>
    <row r="19">
      <c r="A19" s="102" t="inlineStr">
        <is>
          <t>Date</t>
        </is>
      </c>
      <c r="B19" s="288" t="n"/>
      <c r="D19" s="102" t="inlineStr">
        <is>
          <t>Date</t>
        </is>
      </c>
      <c r="E19" s="288" t="n"/>
    </row>
    <row r="20">
      <c r="A20" s="102" t="inlineStr">
        <is>
          <t>Signature</t>
        </is>
      </c>
      <c r="B20" s="102" t="n"/>
      <c r="D20" s="102" t="inlineStr">
        <is>
          <t>Signature</t>
        </is>
      </c>
      <c r="E20" s="102" t="n"/>
    </row>
  </sheetData>
  <hyperlinks>
    <hyperlink xmlns:r="http://schemas.openxmlformats.org/officeDocument/2006/relationships" ref="B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Igor Samul</dc:creator>
  <dcterms:created xsi:type="dcterms:W3CDTF">2025-10-30T16:52:53Z</dcterms:created>
  <dcterms:modified xsi:type="dcterms:W3CDTF">2026-08-10T14:28:30Z</dcterms:modified>
  <cp:lastModifiedBy>Igor Samul</cp:lastModifiedBy>
</cp:coreProperties>
</file>